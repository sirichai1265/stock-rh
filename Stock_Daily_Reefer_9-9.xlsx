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STOCK RH\"/>
    </mc:Choice>
  </mc:AlternateContent>
  <xr:revisionPtr revIDLastSave="0" documentId="8_{80B8DED1-6A93-4526-A120-DDB0BA8A3796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Control" sheetId="1" r:id="rId1"/>
    <sheet name="BookingRaw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1" l="1"/>
  <c r="D6" i="3" s="1"/>
  <c r="I5" i="3"/>
  <c r="H5" i="3"/>
  <c r="H6" i="3" l="1"/>
  <c r="B4" i="1"/>
  <c r="C5" i="3"/>
  <c r="I6" i="3"/>
  <c r="A1" i="3"/>
  <c r="G6" i="3"/>
  <c r="B9" i="1"/>
  <c r="D5" i="3"/>
  <c r="B6" i="3"/>
  <c r="C6" i="3"/>
  <c r="B5" i="1" l="1"/>
  <c r="C4" i="1"/>
  <c r="A4" i="1"/>
  <c r="B8" i="3" l="1"/>
  <c r="G8" i="3"/>
  <c r="B6" i="1"/>
  <c r="C5" i="1"/>
  <c r="A5" i="1"/>
  <c r="H7" i="3"/>
  <c r="H8" i="3" s="1"/>
  <c r="C7" i="3"/>
  <c r="C8" i="3" s="1"/>
  <c r="B7" i="3"/>
  <c r="G7" i="3"/>
  <c r="D7" i="3"/>
  <c r="D8" i="3" s="1"/>
  <c r="I7" i="3"/>
  <c r="I8" i="3" s="1"/>
  <c r="F6" i="3"/>
  <c r="F7" i="3"/>
  <c r="A6" i="3"/>
  <c r="F5" i="3"/>
  <c r="A7" i="3"/>
  <c r="A5" i="3"/>
  <c r="G10" i="3" l="1"/>
  <c r="B10" i="3"/>
  <c r="A9" i="3"/>
  <c r="F9" i="3"/>
  <c r="I9" i="3"/>
  <c r="I10" i="3" s="1"/>
  <c r="B7" i="1"/>
  <c r="C6" i="1"/>
  <c r="C11" i="3" s="1"/>
  <c r="A6" i="1"/>
  <c r="D9" i="3"/>
  <c r="D10" i="3" s="1"/>
  <c r="B9" i="3"/>
  <c r="G9" i="3"/>
  <c r="C9" i="3"/>
  <c r="C10" i="3" s="1"/>
  <c r="H9" i="3"/>
  <c r="H10" i="3" s="1"/>
  <c r="C12" i="3" l="1"/>
  <c r="F11" i="3"/>
  <c r="A11" i="3"/>
  <c r="B11" i="3"/>
  <c r="G12" i="3"/>
  <c r="B12" i="3"/>
  <c r="C13" i="3"/>
  <c r="B13" i="3"/>
  <c r="A7" i="1"/>
  <c r="C7" i="1"/>
  <c r="G13" i="3" s="1"/>
  <c r="D11" i="3"/>
  <c r="D12" i="3" s="1"/>
  <c r="H11" i="3"/>
  <c r="H12" i="3" s="1"/>
  <c r="I11" i="3"/>
  <c r="I12" i="3" s="1"/>
  <c r="G11" i="3"/>
  <c r="G14" i="3" l="1"/>
  <c r="B14" i="3"/>
  <c r="D13" i="3"/>
  <c r="D14" i="3" s="1"/>
  <c r="A13" i="3"/>
  <c r="F13" i="3"/>
  <c r="H13" i="3"/>
  <c r="H14" i="3" s="1"/>
  <c r="C14" i="3"/>
  <c r="I13" i="3"/>
  <c r="I14" i="3" s="1"/>
</calcChain>
</file>

<file path=xl/sharedStrings.xml><?xml version="1.0" encoding="utf-8"?>
<sst xmlns="http://schemas.openxmlformats.org/spreadsheetml/2006/main" count="126" uniqueCount="21">
  <si>
    <t>Report date</t>
  </si>
  <si>
    <t>WK#</t>
  </si>
  <si>
    <t>Monday</t>
  </si>
  <si>
    <t>Saturday</t>
  </si>
  <si>
    <t>Tomorrow</t>
  </si>
  <si>
    <t>Location</t>
  </si>
  <si>
    <t>Pickup Date</t>
  </si>
  <si>
    <t>20'GP</t>
  </si>
  <si>
    <t>40'GP</t>
  </si>
  <si>
    <t>40'HC</t>
  </si>
  <si>
    <t>20'RE</t>
  </si>
  <si>
    <t>40'RH</t>
  </si>
  <si>
    <t>20'OT</t>
  </si>
  <si>
    <t>40'OT</t>
  </si>
  <si>
    <t>20'FR</t>
  </si>
  <si>
    <t>40'FR</t>
  </si>
  <si>
    <t>BKK27</t>
  </si>
  <si>
    <t>LCH27</t>
  </si>
  <si>
    <t>WK</t>
  </si>
  <si>
    <t>Stock empty in yard</t>
  </si>
  <si>
    <t>Booking Pending pick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</si>
</sst>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5"/>
      <color rgb="FFFFFFFF"/>
      <name val="Calibri"/>
      <charset val="1"/>
    </font>
    <font>
      <b/>
      <sz val="11"/>
      <color rgb="FFFFFFFF"/>
      <name val="Calibri"/>
      <charset val="1"/>
    </font>
    <font>
      <sz val="11"/>
      <color rgb="FF1565C0"/>
      <name val="Calibri"/>
      <charset val="1"/>
    </font>
    <font>
      <b/>
      <sz val="11"/>
      <color rgb="FFC62828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0D3B12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  <fill>
      <patternFill patternType="solid">
        <fgColor rgb="FFFFF59D"/>
        <bgColor rgb="FFF2F2F2"/>
      </patternFill>
    </fill>
  </fills>
  <borders count="10">
    <border>
      <left/>
      <right/>
      <top/>
      <bottom/>
      <diagonal/>
    </border>
    <border>
      <left style="medium">
        <color rgb="FF424242"/>
      </left>
      <right style="thin">
        <color rgb="FFBDBDBD"/>
      </right>
      <top style="medium">
        <color rgb="FF424242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rgb="FF424242"/>
      </top>
      <bottom style="thin">
        <color rgb="FFBDBDBD"/>
      </bottom>
      <diagonal/>
    </border>
    <border>
      <left style="thin">
        <color rgb="FFBDBDBD"/>
      </left>
      <right style="medium">
        <color rgb="FF424242"/>
      </right>
      <top style="medium">
        <color rgb="FF424242"/>
      </top>
      <bottom style="thin">
        <color rgb="FFBDBDBD"/>
      </bottom>
      <diagonal/>
    </border>
    <border>
      <left style="medium">
        <color rgb="FF424242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rgb="FF424242"/>
      </right>
      <top style="thin">
        <color rgb="FFBDBDBD"/>
      </top>
      <bottom style="thin">
        <color rgb="FFBDBDBD"/>
      </bottom>
      <diagonal/>
    </border>
    <border>
      <left style="medium">
        <color rgb="FF424242"/>
      </left>
      <right style="thin">
        <color rgb="FFBDBDBD"/>
      </right>
      <top style="thin">
        <color rgb="FFBDBDBD"/>
      </top>
      <bottom style="medium">
        <color rgb="FF424242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424242"/>
      </bottom>
      <diagonal/>
    </border>
    <border>
      <left style="thin">
        <color rgb="FFBDBDBD"/>
      </left>
      <right style="medium">
        <color rgb="FF424242"/>
      </right>
      <top style="thin">
        <color rgb="FFBDBDBD"/>
      </top>
      <bottom style="medium">
        <color rgb="FF42424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5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1" fillId="4" borderId="5" xfId="0" applyFont="1" applyFill="1" applyBorder="1" applyAlignment="1">
      <alignment horizontal="left" vertical="center" inden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5" borderId="4" xfId="0" applyFill="1" applyBorder="1"/>
    <xf numFmtId="0" fontId="1" fillId="5" borderId="5" xfId="0" applyFont="1" applyFill="1" applyBorder="1" applyAlignment="1">
      <alignment horizontal="left" vertical="center" indent="1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0" fillId="5" borderId="7" xfId="0" applyFill="1" applyBorder="1"/>
    <xf numFmtId="0" fontId="1" fillId="5" borderId="8" xfId="0" applyFont="1" applyFill="1" applyBorder="1" applyAlignment="1">
      <alignment horizontal="left" vertical="center" indent="1"/>
    </xf>
    <xf numFmtId="0" fontId="1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sz val="11"/>
        <color rgb="FFC62828"/>
        <name val="Calibri"/>
        <charset val="1"/>
      </font>
      <fill>
        <patternFill>
          <bgColor rgb="FFFFCDD2"/>
        </patternFill>
      </fill>
    </dxf>
    <dxf>
      <font>
        <b/>
        <sz val="11"/>
        <color rgb="FFC62828"/>
        <name val="Calibri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2F2F2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D3B12"/>
      <rgbColor rgb="FF333300"/>
      <rgbColor rgb="FFC62828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Normal="100" workbookViewId="0"/>
  </sheetViews>
  <sheetFormatPr defaultColWidth="8.7109375" defaultRowHeight="15" x14ac:dyDescent="0.25"/>
  <cols>
    <col min="1" max="1" width="10" customWidth="1"/>
    <col min="2" max="3" width="12" customWidth="1"/>
  </cols>
  <sheetData>
    <row r="1" spans="1:3" ht="15" customHeight="1" x14ac:dyDescent="0.25">
      <c r="A1" s="2" t="s">
        <v>0</v>
      </c>
      <c r="B1" s="3">
        <f ca="1">TODAY()</f>
        <v>46275</v>
      </c>
    </row>
    <row r="3" spans="1:3" ht="15" customHeight="1" x14ac:dyDescent="0.25">
      <c r="A3" s="2" t="s">
        <v>1</v>
      </c>
      <c r="B3" s="2" t="s">
        <v>2</v>
      </c>
      <c r="C3" s="2" t="s">
        <v>3</v>
      </c>
    </row>
    <row r="4" spans="1:3" ht="15" customHeight="1" x14ac:dyDescent="0.25">
      <c r="A4" s="4">
        <f ca="1">WEEKNUM(B4,21)</f>
        <v>37</v>
      </c>
      <c r="B4" s="3">
        <f ca="1">$B$1-(WEEKDAY($B$1,2)-1)</f>
        <v>46272</v>
      </c>
      <c r="C4" s="3">
        <f ca="1">B4+5</f>
        <v>46277</v>
      </c>
    </row>
    <row r="5" spans="1:3" ht="15" customHeight="1" x14ac:dyDescent="0.25">
      <c r="A5" s="4">
        <f ca="1">WEEKNUM(B5,21)</f>
        <v>38</v>
      </c>
      <c r="B5" s="3">
        <f ca="1">B4+7</f>
        <v>46279</v>
      </c>
      <c r="C5" s="3">
        <f ca="1">B5+5</f>
        <v>46284</v>
      </c>
    </row>
    <row r="6" spans="1:3" ht="15" customHeight="1" x14ac:dyDescent="0.25">
      <c r="A6" s="4">
        <f ca="1">WEEKNUM(B6,21)</f>
        <v>39</v>
      </c>
      <c r="B6" s="3">
        <f ca="1">B5+7</f>
        <v>46286</v>
      </c>
      <c r="C6" s="3">
        <f ca="1">B6+5</f>
        <v>46291</v>
      </c>
    </row>
    <row r="7" spans="1:3" ht="15" customHeight="1" x14ac:dyDescent="0.25">
      <c r="A7" s="4">
        <f ca="1">WEEKNUM(B7,21)</f>
        <v>40</v>
      </c>
      <c r="B7" s="3">
        <f ca="1">B6+7</f>
        <v>46293</v>
      </c>
      <c r="C7" s="3">
        <f ca="1">B7+5</f>
        <v>46298</v>
      </c>
    </row>
    <row r="9" spans="1:3" ht="15" customHeight="1" x14ac:dyDescent="0.25">
      <c r="A9" s="4" t="s">
        <v>4</v>
      </c>
      <c r="B9" s="3">
        <f ca="1">B1+1</f>
        <v>46276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12" customWidth="1"/>
    <col min="3" max="11" width="7" customWidth="1"/>
  </cols>
  <sheetData>
    <row r="1" spans="1:11" ht="15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ht="15" customHeight="1" x14ac:dyDescent="0.25">
      <c r="A2" t="s">
        <v>16</v>
      </c>
      <c r="B2" s="5">
        <v>46283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ht="15" customHeight="1" x14ac:dyDescent="0.25">
      <c r="A3" t="s">
        <v>17</v>
      </c>
      <c r="B3" s="5">
        <v>46274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ht="15" customHeight="1" x14ac:dyDescent="0.25">
      <c r="A4" t="s">
        <v>16</v>
      </c>
      <c r="B4" s="5">
        <v>46289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ht="15" customHeight="1" x14ac:dyDescent="0.25">
      <c r="A5" t="s">
        <v>17</v>
      </c>
      <c r="B5" s="5">
        <v>46284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ht="15" customHeight="1" x14ac:dyDescent="0.25">
      <c r="A6" t="s">
        <v>17</v>
      </c>
      <c r="B6" s="5">
        <v>46275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t="15" customHeight="1" x14ac:dyDescent="0.25">
      <c r="A7" t="s">
        <v>16</v>
      </c>
      <c r="B7" s="5">
        <v>46283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t="15" customHeight="1" x14ac:dyDescent="0.25">
      <c r="A8" t="s">
        <v>16</v>
      </c>
      <c r="B8" s="5">
        <v>46279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t="15" customHeight="1" x14ac:dyDescent="0.25">
      <c r="A9" t="s">
        <v>16</v>
      </c>
      <c r="B9" s="5">
        <v>46289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t="15" customHeight="1" x14ac:dyDescent="0.25">
      <c r="A10" t="s">
        <v>16</v>
      </c>
      <c r="B10" s="5">
        <v>46280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t="15" customHeight="1" x14ac:dyDescent="0.25">
      <c r="A11" t="s">
        <v>16</v>
      </c>
      <c r="B11" s="5">
        <v>46281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t="15" customHeight="1" x14ac:dyDescent="0.25">
      <c r="A12" t="s">
        <v>16</v>
      </c>
      <c r="B12" s="5">
        <v>46279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t="15" customHeight="1" x14ac:dyDescent="0.25">
      <c r="A13" t="s">
        <v>16</v>
      </c>
      <c r="B13" s="5">
        <v>46283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t="15" customHeight="1" x14ac:dyDescent="0.25">
      <c r="A14" t="s">
        <v>16</v>
      </c>
      <c r="B14" s="5">
        <v>46288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t="15" customHeight="1" x14ac:dyDescent="0.25">
      <c r="A15" t="s">
        <v>17</v>
      </c>
      <c r="B15" s="5">
        <v>46286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t="15" customHeight="1" x14ac:dyDescent="0.25">
      <c r="A16" t="s">
        <v>16</v>
      </c>
      <c r="B16" s="5">
        <v>46279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t="15" customHeight="1" x14ac:dyDescent="0.25">
      <c r="A17" t="s">
        <v>16</v>
      </c>
      <c r="B17" s="5">
        <v>46279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t="15" customHeight="1" x14ac:dyDescent="0.25">
      <c r="A18" t="s">
        <v>16</v>
      </c>
      <c r="B18" s="5">
        <v>46280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t="15" customHeight="1" x14ac:dyDescent="0.25">
      <c r="A19" t="s">
        <v>16</v>
      </c>
      <c r="B19" s="5">
        <v>46281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t="15" customHeight="1" x14ac:dyDescent="0.25">
      <c r="A20" t="s">
        <v>17</v>
      </c>
      <c r="B20" s="5">
        <v>46270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</row>
    <row r="21" spans="1:11" ht="15" customHeight="1" x14ac:dyDescent="0.25">
      <c r="A21" t="s">
        <v>17</v>
      </c>
      <c r="B21" s="5">
        <v>46270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</row>
    <row r="22" spans="1:11" ht="15" customHeight="1" x14ac:dyDescent="0.25">
      <c r="A22" t="s">
        <v>17</v>
      </c>
      <c r="B22" s="5">
        <v>46270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 ht="15" customHeight="1" x14ac:dyDescent="0.25">
      <c r="A23" t="s">
        <v>17</v>
      </c>
      <c r="B23" s="5">
        <v>46272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 ht="15" customHeight="1" x14ac:dyDescent="0.25">
      <c r="A24" t="s">
        <v>17</v>
      </c>
      <c r="B24" s="5">
        <v>46272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 ht="15" customHeight="1" x14ac:dyDescent="0.25">
      <c r="A25" t="s">
        <v>17</v>
      </c>
      <c r="B25" s="5">
        <v>46272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</row>
    <row r="26" spans="1:11" ht="15" customHeight="1" x14ac:dyDescent="0.25">
      <c r="A26" t="s">
        <v>17</v>
      </c>
      <c r="B26" s="5">
        <v>46272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</row>
    <row r="27" spans="1:11" ht="15" customHeight="1" x14ac:dyDescent="0.25">
      <c r="A27" t="s">
        <v>16</v>
      </c>
      <c r="B27" s="5">
        <v>46288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1" ht="15" customHeight="1" x14ac:dyDescent="0.25">
      <c r="A28" t="s">
        <v>17</v>
      </c>
      <c r="B28" s="5">
        <v>46282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</row>
    <row r="29" spans="1:11" ht="15" customHeight="1" x14ac:dyDescent="0.25">
      <c r="A29" t="s">
        <v>16</v>
      </c>
      <c r="B29" s="5">
        <v>46288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 ht="15" customHeight="1" x14ac:dyDescent="0.25">
      <c r="A30" t="s">
        <v>16</v>
      </c>
      <c r="B30" s="5">
        <v>46276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</row>
    <row r="31" spans="1:11" ht="15" customHeight="1" x14ac:dyDescent="0.25">
      <c r="A31" t="s">
        <v>17</v>
      </c>
      <c r="B31" s="5">
        <v>46283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ht="15" customHeight="1" x14ac:dyDescent="0.25">
      <c r="A32" t="s">
        <v>16</v>
      </c>
      <c r="B32" s="5">
        <v>46284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</row>
    <row r="33" spans="1:11" ht="15" customHeight="1" x14ac:dyDescent="0.25">
      <c r="A33" t="s">
        <v>16</v>
      </c>
      <c r="B33" s="5">
        <v>46275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</row>
    <row r="34" spans="1:11" ht="15" customHeight="1" x14ac:dyDescent="0.25">
      <c r="A34" t="s">
        <v>17</v>
      </c>
      <c r="B34" s="5">
        <v>46283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</row>
    <row r="35" spans="1:11" ht="15" customHeight="1" x14ac:dyDescent="0.25">
      <c r="A35" t="s">
        <v>16</v>
      </c>
      <c r="B35" s="5">
        <v>46279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</row>
    <row r="36" spans="1:11" ht="15" customHeight="1" x14ac:dyDescent="0.25">
      <c r="A36" t="s">
        <v>16</v>
      </c>
      <c r="B36" s="5">
        <v>46282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ht="15" customHeight="1" x14ac:dyDescent="0.25">
      <c r="A37" t="s">
        <v>16</v>
      </c>
      <c r="B37" s="5">
        <v>46274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</row>
    <row r="38" spans="1:11" ht="15" customHeight="1" x14ac:dyDescent="0.25">
      <c r="A38" t="s">
        <v>16</v>
      </c>
      <c r="B38" s="5">
        <v>46286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1:11" ht="15" customHeight="1" x14ac:dyDescent="0.25">
      <c r="A39" t="s">
        <v>16</v>
      </c>
      <c r="B39" s="5">
        <v>46289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ht="15" customHeight="1" x14ac:dyDescent="0.25">
      <c r="A40" t="s">
        <v>17</v>
      </c>
      <c r="B40" s="5">
        <v>46282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ht="15" customHeight="1" x14ac:dyDescent="0.25">
      <c r="A41" t="s">
        <v>16</v>
      </c>
      <c r="B41" s="5">
        <v>46290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</row>
    <row r="42" spans="1:11" ht="15" customHeight="1" x14ac:dyDescent="0.25">
      <c r="A42" t="s">
        <v>16</v>
      </c>
      <c r="B42" s="5">
        <v>46277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</row>
    <row r="43" spans="1:11" ht="15" customHeight="1" x14ac:dyDescent="0.25">
      <c r="A43" t="s">
        <v>16</v>
      </c>
      <c r="B43" s="5">
        <v>46276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 ht="15" customHeight="1" x14ac:dyDescent="0.25">
      <c r="A44" t="s">
        <v>16</v>
      </c>
      <c r="B44" s="5">
        <v>46279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</row>
    <row r="45" spans="1:11" ht="15" customHeight="1" x14ac:dyDescent="0.25">
      <c r="A45" t="s">
        <v>17</v>
      </c>
      <c r="B45" s="5">
        <v>46277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</row>
    <row r="46" spans="1:11" ht="15" customHeight="1" x14ac:dyDescent="0.25">
      <c r="A46" t="s">
        <v>17</v>
      </c>
      <c r="B46" s="5">
        <v>46284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ht="15" customHeight="1" x14ac:dyDescent="0.25">
      <c r="A47" t="s">
        <v>16</v>
      </c>
      <c r="B47" s="5">
        <v>46284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ht="15" customHeight="1" x14ac:dyDescent="0.25">
      <c r="A48" t="s">
        <v>16</v>
      </c>
      <c r="B48" s="5">
        <v>46283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</row>
    <row r="49" spans="1:11" ht="15" customHeight="1" x14ac:dyDescent="0.25">
      <c r="A49" t="s">
        <v>17</v>
      </c>
      <c r="B49" s="5">
        <v>46284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</row>
    <row r="50" spans="1:11" ht="15" customHeight="1" x14ac:dyDescent="0.25">
      <c r="A50" t="s">
        <v>16</v>
      </c>
      <c r="B50" s="5">
        <v>46279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 ht="15" customHeight="1" x14ac:dyDescent="0.25">
      <c r="A51" t="s">
        <v>16</v>
      </c>
      <c r="B51" s="5">
        <v>46290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</row>
    <row r="52" spans="1:11" ht="15" customHeight="1" x14ac:dyDescent="0.25">
      <c r="A52" t="s">
        <v>16</v>
      </c>
      <c r="B52" s="5">
        <v>46284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</row>
    <row r="53" spans="1:11" ht="15" customHeight="1" x14ac:dyDescent="0.25">
      <c r="A53" t="s">
        <v>16</v>
      </c>
      <c r="B53" s="5">
        <v>46276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 ht="15" customHeight="1" x14ac:dyDescent="0.25">
      <c r="A54" t="s">
        <v>17</v>
      </c>
      <c r="B54" s="5">
        <v>46280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</row>
    <row r="55" spans="1:11" ht="15" customHeight="1" x14ac:dyDescent="0.25">
      <c r="A55" t="s">
        <v>17</v>
      </c>
      <c r="B55" s="5">
        <v>46283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</row>
    <row r="56" spans="1:11" ht="15" customHeight="1" x14ac:dyDescent="0.25">
      <c r="A56" t="s">
        <v>17</v>
      </c>
      <c r="B56" s="5">
        <v>46280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ht="15" customHeight="1" x14ac:dyDescent="0.25">
      <c r="A57" t="s">
        <v>16</v>
      </c>
      <c r="B57" s="5">
        <v>46279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</row>
    <row r="58" spans="1:11" ht="15" customHeight="1" x14ac:dyDescent="0.25">
      <c r="A58" t="s">
        <v>16</v>
      </c>
      <c r="B58" s="5">
        <v>46279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1" ht="15" customHeight="1" x14ac:dyDescent="0.25">
      <c r="A59" t="s">
        <v>17</v>
      </c>
      <c r="B59" s="5">
        <v>46275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</row>
    <row r="60" spans="1:11" ht="15" customHeight="1" x14ac:dyDescent="0.25">
      <c r="A60" t="s">
        <v>17</v>
      </c>
      <c r="B60" s="5">
        <v>46280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</row>
    <row r="61" spans="1:11" ht="15" customHeight="1" x14ac:dyDescent="0.25">
      <c r="A61" t="s">
        <v>17</v>
      </c>
      <c r="B61" s="5">
        <v>46282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</row>
    <row r="62" spans="1:11" ht="15" customHeight="1" x14ac:dyDescent="0.25">
      <c r="A62" t="s">
        <v>16</v>
      </c>
      <c r="B62" s="5">
        <v>46288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</row>
    <row r="63" spans="1:11" ht="15" customHeight="1" x14ac:dyDescent="0.25">
      <c r="A63" t="s">
        <v>16</v>
      </c>
      <c r="B63" s="5">
        <v>46282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</row>
    <row r="64" spans="1:11" ht="15" customHeight="1" x14ac:dyDescent="0.25">
      <c r="A64" t="s">
        <v>17</v>
      </c>
      <c r="B64" s="5">
        <v>46277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</row>
    <row r="65" spans="1:11" ht="15" customHeight="1" x14ac:dyDescent="0.25">
      <c r="A65" t="s">
        <v>17</v>
      </c>
      <c r="B65" s="5">
        <v>46284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</row>
    <row r="66" spans="1:11" ht="15" customHeight="1" x14ac:dyDescent="0.25">
      <c r="A66" t="s">
        <v>16</v>
      </c>
      <c r="B66" s="5">
        <v>46276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</row>
    <row r="67" spans="1:11" ht="15" customHeight="1" x14ac:dyDescent="0.25">
      <c r="A67" t="s">
        <v>16</v>
      </c>
      <c r="B67" s="5">
        <v>46284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</row>
    <row r="68" spans="1:11" ht="15" customHeight="1" x14ac:dyDescent="0.25">
      <c r="A68" t="s">
        <v>17</v>
      </c>
      <c r="B68" s="5">
        <v>46283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</row>
    <row r="69" spans="1:11" ht="15" customHeight="1" x14ac:dyDescent="0.25">
      <c r="A69" t="s">
        <v>17</v>
      </c>
      <c r="B69" s="5">
        <v>46275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</row>
    <row r="70" spans="1:11" ht="15" customHeight="1" x14ac:dyDescent="0.25">
      <c r="A70" t="s">
        <v>16</v>
      </c>
      <c r="B70" s="5">
        <v>46290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</row>
    <row r="71" spans="1:11" ht="15" customHeight="1" x14ac:dyDescent="0.25">
      <c r="A71" t="s">
        <v>17</v>
      </c>
      <c r="B71" s="5">
        <v>46279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 ht="15" customHeight="1" x14ac:dyDescent="0.25">
      <c r="A72" t="s">
        <v>17</v>
      </c>
      <c r="B72" s="5">
        <v>46288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</row>
    <row r="73" spans="1:11" ht="15" customHeight="1" x14ac:dyDescent="0.25">
      <c r="A73" t="s">
        <v>16</v>
      </c>
      <c r="B73" s="5">
        <v>46288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</row>
    <row r="74" spans="1:11" ht="15" customHeight="1" x14ac:dyDescent="0.25">
      <c r="A74" t="s">
        <v>17</v>
      </c>
      <c r="B74" s="5">
        <v>46274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</row>
    <row r="75" spans="1:11" ht="15" customHeight="1" x14ac:dyDescent="0.25">
      <c r="A75" t="s">
        <v>16</v>
      </c>
      <c r="B75" s="5">
        <v>46290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 ht="15" customHeight="1" x14ac:dyDescent="0.25">
      <c r="A76" t="s">
        <v>16</v>
      </c>
      <c r="B76" s="5">
        <v>46283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</row>
    <row r="77" spans="1:11" ht="15" customHeight="1" x14ac:dyDescent="0.25">
      <c r="A77" t="s">
        <v>16</v>
      </c>
      <c r="B77" s="5">
        <v>46281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</row>
    <row r="78" spans="1:11" ht="15" customHeight="1" x14ac:dyDescent="0.25">
      <c r="A78" t="s">
        <v>16</v>
      </c>
      <c r="B78" s="5">
        <v>46284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 ht="15" customHeight="1" x14ac:dyDescent="0.25">
      <c r="A79" t="s">
        <v>16</v>
      </c>
      <c r="B79" s="5">
        <v>46274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 ht="15" customHeight="1" x14ac:dyDescent="0.25">
      <c r="A80" t="s">
        <v>16</v>
      </c>
      <c r="B80" s="5">
        <v>46281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</row>
    <row r="81" spans="1:11" ht="15" customHeight="1" x14ac:dyDescent="0.25">
      <c r="A81" t="s">
        <v>16</v>
      </c>
      <c r="B81" s="5">
        <v>46290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</row>
    <row r="82" spans="1:11" ht="15" customHeight="1" x14ac:dyDescent="0.25">
      <c r="A82" t="s">
        <v>16</v>
      </c>
      <c r="B82" s="5">
        <v>46277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</row>
    <row r="83" spans="1:11" ht="15" customHeight="1" x14ac:dyDescent="0.25">
      <c r="A83" t="s">
        <v>17</v>
      </c>
      <c r="B83" s="5">
        <v>46279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</row>
    <row r="84" spans="1:11" ht="15" customHeight="1" x14ac:dyDescent="0.25">
      <c r="A84" t="s">
        <v>16</v>
      </c>
      <c r="B84" s="5">
        <v>46277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 ht="15" customHeight="1" x14ac:dyDescent="0.25">
      <c r="A85" t="s">
        <v>17</v>
      </c>
      <c r="B85" s="5">
        <v>46281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</row>
    <row r="86" spans="1:11" ht="15" customHeight="1" x14ac:dyDescent="0.25">
      <c r="A86" t="s">
        <v>17</v>
      </c>
      <c r="B86" s="5">
        <v>46279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</row>
    <row r="87" spans="1:11" ht="15" customHeight="1" x14ac:dyDescent="0.25">
      <c r="A87" t="s">
        <v>16</v>
      </c>
      <c r="B87" s="5">
        <v>46288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</row>
    <row r="88" spans="1:11" ht="15" customHeight="1" x14ac:dyDescent="0.25">
      <c r="A88" t="s">
        <v>16</v>
      </c>
      <c r="B88" s="5">
        <v>46274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</row>
    <row r="89" spans="1:11" ht="15" customHeight="1" x14ac:dyDescent="0.25">
      <c r="A89" t="s">
        <v>16</v>
      </c>
      <c r="B89" s="5">
        <v>46281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</row>
    <row r="90" spans="1:11" ht="15" customHeight="1" x14ac:dyDescent="0.25">
      <c r="A90" t="s">
        <v>17</v>
      </c>
      <c r="B90" s="5">
        <v>46279</v>
      </c>
      <c r="C90">
        <v>0</v>
      </c>
      <c r="D90">
        <v>0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</row>
    <row r="91" spans="1:11" ht="15" customHeight="1" x14ac:dyDescent="0.25">
      <c r="A91" t="s">
        <v>17</v>
      </c>
      <c r="B91" s="5">
        <v>46281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</row>
    <row r="92" spans="1:11" ht="15" customHeight="1" x14ac:dyDescent="0.25">
      <c r="A92" t="s">
        <v>16</v>
      </c>
      <c r="B92" s="5">
        <v>46281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</row>
    <row r="93" spans="1:11" ht="15" customHeight="1" x14ac:dyDescent="0.25">
      <c r="A93" t="s">
        <v>16</v>
      </c>
      <c r="B93" s="5">
        <v>46291</v>
      </c>
      <c r="C93">
        <v>0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</row>
    <row r="94" spans="1:11" ht="15" customHeight="1" x14ac:dyDescent="0.25">
      <c r="A94" t="s">
        <v>17</v>
      </c>
      <c r="B94" s="5">
        <v>46274</v>
      </c>
      <c r="C94">
        <v>0</v>
      </c>
      <c r="D94">
        <v>0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</row>
    <row r="95" spans="1:11" ht="15" customHeight="1" x14ac:dyDescent="0.25">
      <c r="A95" t="s">
        <v>16</v>
      </c>
      <c r="B95" s="5">
        <v>46280</v>
      </c>
      <c r="C95">
        <v>0</v>
      </c>
      <c r="D95">
        <v>0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</row>
    <row r="96" spans="1:11" ht="15" customHeight="1" x14ac:dyDescent="0.25">
      <c r="A96" t="s">
        <v>16</v>
      </c>
      <c r="B96" s="5">
        <v>46279</v>
      </c>
      <c r="C96">
        <v>0</v>
      </c>
      <c r="D96">
        <v>0</v>
      </c>
      <c r="E96">
        <v>0</v>
      </c>
      <c r="F96">
        <v>0</v>
      </c>
      <c r="G96">
        <v>4</v>
      </c>
      <c r="H96">
        <v>0</v>
      </c>
      <c r="I96">
        <v>0</v>
      </c>
      <c r="J96">
        <v>0</v>
      </c>
      <c r="K96">
        <v>0</v>
      </c>
    </row>
    <row r="97" spans="1:11" ht="15" customHeight="1" x14ac:dyDescent="0.25">
      <c r="A97" t="s">
        <v>17</v>
      </c>
      <c r="B97" s="5">
        <v>46281</v>
      </c>
      <c r="C97">
        <v>0</v>
      </c>
      <c r="D97">
        <v>0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</row>
    <row r="98" spans="1:11" ht="15" customHeight="1" x14ac:dyDescent="0.25">
      <c r="A98" t="s">
        <v>16</v>
      </c>
      <c r="B98" s="5">
        <v>46280</v>
      </c>
      <c r="C98">
        <v>0</v>
      </c>
      <c r="D98">
        <v>0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</row>
    <row r="99" spans="1:11" ht="15" customHeight="1" x14ac:dyDescent="0.25">
      <c r="A99" t="s">
        <v>16</v>
      </c>
      <c r="B99" s="5">
        <v>46279</v>
      </c>
      <c r="C99">
        <v>0</v>
      </c>
      <c r="D99">
        <v>0</v>
      </c>
      <c r="E99">
        <v>0</v>
      </c>
      <c r="F99">
        <v>0</v>
      </c>
      <c r="G99">
        <v>6</v>
      </c>
      <c r="H99">
        <v>0</v>
      </c>
      <c r="I99">
        <v>0</v>
      </c>
      <c r="J99">
        <v>0</v>
      </c>
      <c r="K9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tabSelected="1" zoomScaleNormal="100" workbookViewId="0">
      <selection sqref="A1:I1"/>
    </sheetView>
  </sheetViews>
  <sheetFormatPr defaultColWidth="8.7109375" defaultRowHeight="15" x14ac:dyDescent="0.25"/>
  <cols>
    <col min="1" max="1" width="6" customWidth="1"/>
    <col min="2" max="2" width="24" customWidth="1"/>
    <col min="3" max="4" width="9" customWidth="1"/>
    <col min="5" max="5" width="2.42578125" customWidth="1"/>
    <col min="6" max="6" width="6" customWidth="1"/>
    <col min="7" max="7" width="24" customWidth="1"/>
    <col min="8" max="9" width="9" customWidth="1"/>
  </cols>
  <sheetData>
    <row r="1" spans="1:9" ht="25.5" customHeight="1" x14ac:dyDescent="0.25">
      <c r="A1" s="1" t="str">
        <f ca="1">"Stock vs Booking Report - Reefer (20'RE / 40'RH) — as of "&amp;DAY(Control!$B$1)&amp;" "&amp;CHOOSE(MONTH(Control!$B$1),"JAN","FEB","MAR","APR","MAY","JUN","JUL","AUG","SEP","OCT","NOV","DEC")&amp;" "&amp;YEAR(Control!$B$1)</f>
        <v>Stock vs Booking Report - Reefer (20'RE / 40'RH) — as of 10 SEP 2026</v>
      </c>
      <c r="B1" s="1"/>
      <c r="C1" s="1"/>
      <c r="D1" s="1"/>
      <c r="E1" s="1"/>
      <c r="F1" s="1"/>
      <c r="G1" s="1"/>
      <c r="H1" s="1"/>
      <c r="I1" s="1"/>
    </row>
    <row r="2" spans="1:9" ht="19.5" customHeight="1" x14ac:dyDescent="0.25"/>
    <row r="3" spans="1:9" ht="16.5" customHeight="1" x14ac:dyDescent="0.25">
      <c r="A3" s="6" t="s">
        <v>18</v>
      </c>
      <c r="B3" s="7" t="s">
        <v>16</v>
      </c>
      <c r="C3" s="8" t="s">
        <v>10</v>
      </c>
      <c r="D3" s="9" t="s">
        <v>11</v>
      </c>
      <c r="F3" s="6" t="s">
        <v>18</v>
      </c>
      <c r="G3" s="7" t="s">
        <v>17</v>
      </c>
      <c r="H3" s="8" t="s">
        <v>10</v>
      </c>
      <c r="I3" s="9" t="s">
        <v>11</v>
      </c>
    </row>
    <row r="4" spans="1:9" ht="16.5" customHeight="1" x14ac:dyDescent="0.25">
      <c r="A4" s="10"/>
      <c r="B4" s="11" t="s">
        <v>19</v>
      </c>
      <c r="C4" s="12">
        <v>28</v>
      </c>
      <c r="D4" s="13">
        <v>35</v>
      </c>
      <c r="F4" s="10"/>
      <c r="G4" s="11" t="s">
        <v>19</v>
      </c>
      <c r="H4" s="12">
        <v>8</v>
      </c>
      <c r="I4" s="13">
        <v>59</v>
      </c>
    </row>
    <row r="5" spans="1:9" ht="16.5" customHeight="1" x14ac:dyDescent="0.25">
      <c r="A5" s="14">
        <f ca="1">Control!$A$4</f>
        <v>37</v>
      </c>
      <c r="B5" s="15" t="s">
        <v>20</v>
      </c>
      <c r="C5" s="16">
        <f ca="1">SUMIFS(BookingRaw!$F$2:$F$99,BookingRaw!$A$2:$A$99,"BKK27",BookingRaw!$B$2:$B$99,"&lt;"&amp;Control!$B$1)</f>
        <v>0</v>
      </c>
      <c r="D5" s="17">
        <f ca="1">SUMIFS(BookingRaw!$G$2:$G$99,BookingRaw!$A$2:$A$99,"BKK27",BookingRaw!$B$2:$B$99,"&lt;"&amp;Control!$B$1)</f>
        <v>3</v>
      </c>
      <c r="F5" s="14">
        <f ca="1">Control!$A$4</f>
        <v>37</v>
      </c>
      <c r="G5" s="15" t="s">
        <v>20</v>
      </c>
      <c r="H5" s="16">
        <f ca="1">SUMIFS(BookingRaw!$F$2:$F$99,BookingRaw!$A$2:$A$99,"LCH27",BookingRaw!$B$2:$B$99,"&lt;"&amp;Control!$B$1)</f>
        <v>1</v>
      </c>
      <c r="I5" s="17">
        <f ca="1">SUMIFS(BookingRaw!$G$2:$G$99,BookingRaw!$A$2:$A$99,"LCH27",BookingRaw!$B$2:$B$99,"&lt;"&amp;Control!$B$1)</f>
        <v>11</v>
      </c>
    </row>
    <row r="6" spans="1:9" ht="16.5" customHeight="1" x14ac:dyDescent="0.25">
      <c r="A6" s="14">
        <f ca="1">Control!$A$4</f>
        <v>37</v>
      </c>
      <c r="B6" s="15" t="str">
        <f ca="1">"Booking on "&amp;DAY(Control!$B$1)&amp;" "&amp;CHOOSE(MONTH(Control!$B$1),"JAN","FEB","MAR","APR","MAY","JUN","JUL","AUG","SEP","OCT","NOV","DEC")</f>
        <v>Booking on 10 SEP</v>
      </c>
      <c r="C6" s="16">
        <f ca="1">SUMIFS(BookingRaw!$F$2:$F$99,BookingRaw!$A$2:$A$99,"BKK27",BookingRaw!$B$2:$B$99,"="&amp;Control!$B$1)</f>
        <v>0</v>
      </c>
      <c r="D6" s="17">
        <f ca="1">SUMIFS(BookingRaw!$G$2:$G$99,BookingRaw!$A$2:$A$99,"BKK27",BookingRaw!$B$2:$B$99,"="&amp;Control!$B$1)</f>
        <v>1</v>
      </c>
      <c r="F6" s="14">
        <f ca="1">Control!$A$4</f>
        <v>37</v>
      </c>
      <c r="G6" s="15" t="str">
        <f ca="1">"Booking on "&amp;DAY(Control!$B$1)&amp;" "&amp;CHOOSE(MONTH(Control!$B$1),"JAN","FEB","MAR","APR","MAY","JUN","JUL","AUG","SEP","OCT","NOV","DEC")</f>
        <v>Booking on 10 SEP</v>
      </c>
      <c r="H6" s="16">
        <f ca="1">SUMIFS(BookingRaw!$F$2:$F$99,BookingRaw!$A$2:$A$99,"LCH27",BookingRaw!$B$2:$B$99,"="&amp;Control!$B$1)</f>
        <v>1</v>
      </c>
      <c r="I6" s="17">
        <f ca="1">SUMIFS(BookingRaw!$G$2:$G$99,BookingRaw!$A$2:$A$99,"LCH27",BookingRaw!$B$2:$B$99,"="&amp;Control!$B$1)</f>
        <v>2</v>
      </c>
    </row>
    <row r="7" spans="1:9" ht="16.5" customHeight="1" x14ac:dyDescent="0.25">
      <c r="A7" s="14">
        <f ca="1">Control!$A$4</f>
        <v>37</v>
      </c>
      <c r="B7" s="15" t="str">
        <f ca="1"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C7" s="16">
        <f ca="1">SUMIFS(BookingRaw!$F$2:$F$99,BookingRaw!$A$2:$A$99,"BKK27",BookingRaw!$B$2:$B$99,"&gt;="&amp;Control!$B$9,BookingRaw!$B$2:$B$99,"&lt;="&amp;Control!$C$4)</f>
        <v>0</v>
      </c>
      <c r="D7" s="17">
        <f ca="1">SUMIFS(BookingRaw!$G$2:$G$99,BookingRaw!$A$2:$A$99,"BKK27",BookingRaw!$B$2:$B$99,"&gt;="&amp;Control!$B$9,BookingRaw!$B$2:$B$99,"&lt;="&amp;Control!$C$4)</f>
        <v>7</v>
      </c>
      <c r="F7" s="14">
        <f ca="1">Control!$A$4</f>
        <v>37</v>
      </c>
      <c r="G7" s="15" t="str">
        <f ca="1"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11-12 SEP</v>
      </c>
      <c r="H7" s="16">
        <f ca="1">SUMIFS(BookingRaw!$F$2:$F$99,BookingRaw!$A$2:$A$99,"LCH27",BookingRaw!$B$2:$B$99,"&gt;="&amp;Control!$B$9,BookingRaw!$B$2:$B$99,"&lt;="&amp;Control!$C$4)</f>
        <v>0</v>
      </c>
      <c r="I7" s="17">
        <f ca="1">SUMIFS(BookingRaw!$G$2:$G$99,BookingRaw!$A$2:$A$99,"LCH27",BookingRaw!$B$2:$B$99,"&gt;="&amp;Control!$B$9,BookingRaw!$B$2:$B$99,"&lt;="&amp;Control!$C$4)</f>
        <v>2</v>
      </c>
    </row>
    <row r="8" spans="1:9" ht="16.5" customHeight="1" x14ac:dyDescent="0.25">
      <c r="A8" s="18"/>
      <c r="B8" s="19" t="str">
        <f ca="1">"AV Balance till "&amp;DAY(Control!$C$4)&amp;" "&amp;CHOOSE(MONTH(Control!$C$4),"JAN","FEB","MAR","APR","MAY","JUN","JUL","AUG","SEP","OCT","NOV","DEC")</f>
        <v>AV Balance till 12 SEP</v>
      </c>
      <c r="C8" s="20">
        <f ca="1">C4-C5-C6-C7</f>
        <v>28</v>
      </c>
      <c r="D8" s="21">
        <f ca="1">D4-D5-D6-D7</f>
        <v>24</v>
      </c>
      <c r="F8" s="18"/>
      <c r="G8" s="19" t="str">
        <f ca="1">"AV Balance till "&amp;DAY(Control!$C$4)&amp;" "&amp;CHOOSE(MONTH(Control!$C$4),"JAN","FEB","MAR","APR","MAY","JUN","JUL","AUG","SEP","OCT","NOV","DEC")</f>
        <v>AV Balance till 12 SEP</v>
      </c>
      <c r="H8" s="20">
        <f ca="1">H4-H5-H6-H7</f>
        <v>6</v>
      </c>
      <c r="I8" s="21">
        <f ca="1">I4-I5-I6-I7</f>
        <v>44</v>
      </c>
    </row>
    <row r="9" spans="1:9" ht="16.5" customHeight="1" x14ac:dyDescent="0.25">
      <c r="A9" s="14">
        <f ca="1">Control!$A$5</f>
        <v>38</v>
      </c>
      <c r="B9" s="15" t="str">
        <f ca="1"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>Booking on 14-19 SEP</v>
      </c>
      <c r="C9" s="16">
        <f ca="1">SUMIFS(BookingRaw!$F$2:$F$99,BookingRaw!$A$2:$A$99,"BKK27",BookingRaw!$B$2:$B$99,"&gt;="&amp;Control!$B5,BookingRaw!$B$2:$B$99,"&lt;="&amp;Control!$C5)</f>
        <v>11</v>
      </c>
      <c r="D9" s="17">
        <f ca="1">SUMIFS(BookingRaw!$G$2:$G$99,BookingRaw!$A$2:$A$99,"BKK27",BookingRaw!$B$2:$B$99,"&gt;="&amp;Control!$B5,BookingRaw!$B$2:$B$99,"&lt;="&amp;Control!$C5)</f>
        <v>38</v>
      </c>
      <c r="F9" s="14">
        <f ca="1">Control!$A$5</f>
        <v>38</v>
      </c>
      <c r="G9" s="15" t="str">
        <f ca="1"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>Booking on 14-19 SEP</v>
      </c>
      <c r="H9" s="16">
        <f ca="1">SUMIFS(BookingRaw!$F$2:$F$99,BookingRaw!$A$2:$A$99,"LCH27",BookingRaw!$B$2:$B$99,"&gt;="&amp;Control!$B5,BookingRaw!$B$2:$B$99,"&lt;="&amp;Control!$C5)</f>
        <v>1</v>
      </c>
      <c r="I9" s="17">
        <f ca="1">SUMIFS(BookingRaw!$G$2:$G$99,BookingRaw!$A$2:$A$99,"LCH27",BookingRaw!$B$2:$B$99,"&gt;="&amp;Control!$B5,BookingRaw!$B$2:$B$99,"&lt;="&amp;Control!$C5)</f>
        <v>25</v>
      </c>
    </row>
    <row r="10" spans="1:9" ht="16.5" customHeight="1" x14ac:dyDescent="0.25">
      <c r="A10" s="18"/>
      <c r="B10" s="19" t="str">
        <f ca="1">"AV Balance till "&amp;DAY(Control!$C5)&amp;" "&amp;CHOOSE(MONTH(Control!$C5),"JAN","FEB","MAR","APR","MAY","JUN","JUL","AUG","SEP","OCT","NOV","DEC")</f>
        <v>AV Balance till 19 SEP</v>
      </c>
      <c r="C10" s="20">
        <f ca="1">C8-C9</f>
        <v>17</v>
      </c>
      <c r="D10" s="22">
        <f ca="1">D8-D9</f>
        <v>-14</v>
      </c>
      <c r="F10" s="18"/>
      <c r="G10" s="19" t="str">
        <f ca="1">"AV Balance till "&amp;DAY(Control!$C5)&amp;" "&amp;CHOOSE(MONTH(Control!$C5),"JAN","FEB","MAR","APR","MAY","JUN","JUL","AUG","SEP","OCT","NOV","DEC")</f>
        <v>AV Balance till 19 SEP</v>
      </c>
      <c r="H10" s="20">
        <f ca="1">H8-H9</f>
        <v>5</v>
      </c>
      <c r="I10" s="21">
        <f ca="1">I8-I9</f>
        <v>19</v>
      </c>
    </row>
    <row r="11" spans="1:9" ht="16.5" customHeight="1" x14ac:dyDescent="0.25">
      <c r="A11" s="14">
        <f ca="1">Control!$A$6</f>
        <v>39</v>
      </c>
      <c r="B11" s="15" t="str">
        <f ca="1"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>Booking on 21-26 SEP</v>
      </c>
      <c r="C11" s="16">
        <f ca="1">SUMIFS(BookingRaw!$F$2:$F$99,BookingRaw!$A$2:$A$99,"BKK27",BookingRaw!$B$2:$B$99,"&gt;="&amp;Control!$B6,BookingRaw!$B$2:$B$99,"&lt;="&amp;Control!$C6)</f>
        <v>3</v>
      </c>
      <c r="D11" s="17">
        <f ca="1">SUMIFS(BookingRaw!$G$2:$G$99,BookingRaw!$A$2:$A$99,"BKK27",BookingRaw!$B$2:$B$99,"&gt;="&amp;Control!$B6,BookingRaw!$B$2:$B$99,"&lt;="&amp;Control!$C6)</f>
        <v>14</v>
      </c>
      <c r="F11" s="14">
        <f ca="1">Control!$A$6</f>
        <v>39</v>
      </c>
      <c r="G11" s="15" t="str">
        <f ca="1"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>Booking on 21-26 SEP</v>
      </c>
      <c r="H11" s="16">
        <f ca="1">SUMIFS(BookingRaw!$F$2:$F$99,BookingRaw!$A$2:$A$99,"LCH27",BookingRaw!$B$2:$B$99,"&gt;="&amp;Control!$B6,BookingRaw!$B$2:$B$99,"&lt;="&amp;Control!$C6)</f>
        <v>1</v>
      </c>
      <c r="I11" s="17">
        <f ca="1">SUMIFS(BookingRaw!$G$2:$G$99,BookingRaw!$A$2:$A$99,"LCH27",BookingRaw!$B$2:$B$99,"&gt;="&amp;Control!$B6,BookingRaw!$B$2:$B$99,"&lt;="&amp;Control!$C6)</f>
        <v>1</v>
      </c>
    </row>
    <row r="12" spans="1:9" ht="16.5" customHeight="1" x14ac:dyDescent="0.25">
      <c r="A12" s="18"/>
      <c r="B12" s="19" t="str">
        <f ca="1">"AV Balance till "&amp;DAY(Control!$C6)&amp;" "&amp;CHOOSE(MONTH(Control!$C6),"JAN","FEB","MAR","APR","MAY","JUN","JUL","AUG","SEP","OCT","NOV","DEC")</f>
        <v>AV Balance till 26 SEP</v>
      </c>
      <c r="C12" s="20">
        <f ca="1">C10-C11</f>
        <v>14</v>
      </c>
      <c r="D12" s="22">
        <f ca="1">D10-D11</f>
        <v>-28</v>
      </c>
      <c r="F12" s="18"/>
      <c r="G12" s="19" t="str">
        <f ca="1">"AV Balance till "&amp;DAY(Control!$C6)&amp;" "&amp;CHOOSE(MONTH(Control!$C6),"JAN","FEB","MAR","APR","MAY","JUN","JUL","AUG","SEP","OCT","NOV","DEC")</f>
        <v>AV Balance till 26 SEP</v>
      </c>
      <c r="H12" s="20">
        <f ca="1">H10-H11</f>
        <v>4</v>
      </c>
      <c r="I12" s="21">
        <f ca="1">I10-I11</f>
        <v>18</v>
      </c>
    </row>
    <row r="13" spans="1:9" ht="16.5" customHeight="1" x14ac:dyDescent="0.25">
      <c r="A13" s="14">
        <f ca="1">Control!$A$7</f>
        <v>40</v>
      </c>
      <c r="B13" s="15" t="str">
        <f ca="1"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>Booking on 28 SEP-3 OCT</v>
      </c>
      <c r="C13" s="16">
        <f ca="1">SUMIFS(BookingRaw!$F$2:$F$99,BookingRaw!$A$2:$A$99,"BKK27",BookingRaw!$B$2:$B$99,"&gt;="&amp;Control!$B7,BookingRaw!$B$2:$B$99,"&lt;="&amp;Control!$C7)</f>
        <v>0</v>
      </c>
      <c r="D13" s="17">
        <f ca="1">SUMIFS(BookingRaw!$G$2:$G$99,BookingRaw!$A$2:$A$99,"BKK27",BookingRaw!$B$2:$B$99,"&gt;="&amp;Control!$B7,BookingRaw!$B$2:$B$99,"&lt;="&amp;Control!$C7)</f>
        <v>0</v>
      </c>
      <c r="F13" s="14">
        <f ca="1">Control!$A$7</f>
        <v>40</v>
      </c>
      <c r="G13" s="15" t="str">
        <f ca="1"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>Booking on 28 SEP-3 OCT</v>
      </c>
      <c r="H13" s="16">
        <f ca="1">SUMIFS(BookingRaw!$F$2:$F$99,BookingRaw!$A$2:$A$99,"LCH27",BookingRaw!$B$2:$B$99,"&gt;="&amp;Control!$B7,BookingRaw!$B$2:$B$99,"&lt;="&amp;Control!$C7)</f>
        <v>0</v>
      </c>
      <c r="I13" s="17">
        <f ca="1">SUMIFS(BookingRaw!$G$2:$G$99,BookingRaw!$A$2:$A$99,"LCH27",BookingRaw!$B$2:$B$99,"&gt;="&amp;Control!$B7,BookingRaw!$B$2:$B$99,"&lt;="&amp;Control!$C7)</f>
        <v>0</v>
      </c>
    </row>
    <row r="14" spans="1:9" ht="16.5" customHeight="1" x14ac:dyDescent="0.25">
      <c r="A14" s="23"/>
      <c r="B14" s="24" t="str">
        <f ca="1">"AV Balance till "&amp;DAY(Control!$C7)&amp;" "&amp;CHOOSE(MONTH(Control!$C7),"JAN","FEB","MAR","APR","MAY","JUN","JUL","AUG","SEP","OCT","NOV","DEC")</f>
        <v>AV Balance till 3 OCT</v>
      </c>
      <c r="C14" s="25">
        <f ca="1">C12-C13</f>
        <v>14</v>
      </c>
      <c r="D14" s="26">
        <f ca="1">D12-D13</f>
        <v>-28</v>
      </c>
      <c r="F14" s="23"/>
      <c r="G14" s="24" t="str">
        <f ca="1">"AV Balance till "&amp;DAY(Control!$C7)&amp;" "&amp;CHOOSE(MONTH(Control!$C7),"JAN","FEB","MAR","APR","MAY","JUN","JUL","AUG","SEP","OCT","NOV","DEC")</f>
        <v>AV Balance till 3 OCT</v>
      </c>
      <c r="H14" s="25">
        <f ca="1">H12-H13</f>
        <v>4</v>
      </c>
      <c r="I14" s="27">
        <f ca="1">I12-I13</f>
        <v>18</v>
      </c>
    </row>
    <row r="15" spans="1:9" ht="16.5" customHeight="1" x14ac:dyDescent="0.25"/>
    <row r="16" spans="1:9" ht="16.5" customHeight="1" x14ac:dyDescent="0.25"/>
  </sheetData>
  <mergeCells count="1">
    <mergeCell ref="A1:I1"/>
  </mergeCells>
  <conditionalFormatting sqref="C1:D17">
    <cfRule type="cellIs" dxfId="1" priority="2" operator="lessThan">
      <formula>0</formula>
    </cfRule>
  </conditionalFormatting>
  <conditionalFormatting sqref="H1:I17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BookingRaw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office4</cp:lastModifiedBy>
  <cp:revision>0</cp:revision>
  <dcterms:created xsi:type="dcterms:W3CDTF">2026-09-09T00:20:57Z</dcterms:created>
  <dcterms:modified xsi:type="dcterms:W3CDTF">2026-09-10T00:43:58Z</dcterms:modified>
  <dc:language>en-US</dc:language>
</cp:coreProperties>
</file>