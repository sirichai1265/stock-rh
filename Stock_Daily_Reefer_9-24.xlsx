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1" applyAlignment="1" pivotButton="0" quotePrefix="0" xfId="0">
      <alignment horizontal="center"/>
    </xf>
    <xf numFmtId="0" fontId="21" fillId="3" borderId="1" applyAlignment="1" pivotButton="0" quotePrefix="0" xfId="0">
      <alignment horizontal="center"/>
    </xf>
    <xf numFmtId="0" fontId="22" fillId="4" borderId="1" pivotButton="0" quotePrefix="0" xfId="0"/>
    <xf numFmtId="0" fontId="22" fillId="0" borderId="1" applyAlignment="1" pivotButton="0" quotePrefix="0" xfId="0">
      <alignment horizontal="center"/>
    </xf>
    <xf numFmtId="0" fontId="20" fillId="0" borderId="1" pivotButton="0" quotePrefix="0" xfId="0"/>
    <xf numFmtId="0" fontId="20" fillId="0" borderId="1" applyAlignment="1" pivotButton="0" quotePrefix="0" xfId="0">
      <alignment horizontal="center"/>
    </xf>
    <xf numFmtId="0" fontId="22" fillId="4" borderId="1" applyAlignment="1" pivotButton="0" quotePrefix="0" xfId="0">
      <alignment horizontal="left"/>
    </xf>
    <xf numFmtId="0" fontId="22" fillId="4" borderId="1" applyAlignment="1" pivotButton="0" quotePrefix="0" xfId="0">
      <alignment horizontal="center"/>
    </xf>
    <xf numFmtId="0" fontId="22" fillId="0" borderId="1" pivotButton="0" quotePrefix="0" xfId="0"/>
    <xf numFmtId="0" fontId="22" fillId="5" borderId="1" applyAlignment="1" pivotButton="0" quotePrefix="0" xfId="0">
      <alignment horizontal="left"/>
    </xf>
    <xf numFmtId="0" fontId="22" fillId="5" borderId="1" applyAlignment="1" pivotButton="0" quotePrefix="0" xfId="0">
      <alignment horizontal="center"/>
    </xf>
    <xf numFmtId="0" fontId="23" fillId="0" borderId="1" applyAlignment="1" pivotButton="0" quotePrefix="0" xfId="0">
      <alignment horizontal="left"/>
    </xf>
    <xf numFmtId="0" fontId="24" fillId="0" borderId="1" pivotButton="0" quotePrefix="0" xfId="0"/>
    <xf numFmtId="0" fontId="20" fillId="0" borderId="1" applyAlignment="1" pivotButton="0" quotePrefix="0" xfId="0">
      <alignment horizontal="left"/>
    </xf>
    <xf numFmtId="0" fontId="22" fillId="6" borderId="1" applyAlignment="1" pivotButton="0" quotePrefix="0" xfId="0">
      <alignment horizontal="center"/>
    </xf>
    <xf numFmtId="0" fontId="21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right"/>
    </xf>
    <xf numFmtId="0" fontId="20" fillId="5" borderId="1" pivotButton="0" quotePrefix="0" xfId="0"/>
    <xf numFmtId="0" fontId="20" fillId="3" borderId="1" pivotButton="0" quotePrefix="0" xfId="0"/>
    <xf numFmtId="0" fontId="21" fillId="7" borderId="1" applyAlignment="1" pivotButton="0" quotePrefix="0" xfId="0">
      <alignment horizontal="center"/>
    </xf>
    <xf numFmtId="0" fontId="25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center"/>
    </xf>
    <xf numFmtId="0" fontId="25" fillId="9" borderId="1" applyAlignment="1" pivotButton="0" quotePrefix="0" xfId="0">
      <alignment horizontal="center"/>
    </xf>
    <xf numFmtId="0" fontId="20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20" fillId="10" borderId="1" applyAlignment="1" pivotButton="0" quotePrefix="0" xfId="0">
      <alignment horizontal="center"/>
    </xf>
    <xf numFmtId="0" fontId="25" fillId="11" borderId="1" applyAlignment="1" pivotButton="0" quotePrefix="0" xfId="0">
      <alignment horizontal="center"/>
    </xf>
    <xf numFmtId="0" fontId="20" fillId="11" borderId="1" applyAlignment="1" pivotButton="0" quotePrefix="0" xfId="0">
      <alignment horizontal="center"/>
    </xf>
    <xf numFmtId="0" fontId="23" fillId="0" borderId="1" pivotButton="0" quotePrefix="0" xfId="0"/>
    <xf numFmtId="0" fontId="26" fillId="0" borderId="1" applyAlignment="1" pivotButton="0" quotePrefix="0" xfId="0">
      <alignment horizontal="left"/>
    </xf>
    <xf numFmtId="0" fontId="20" fillId="0" borderId="2" pivotButton="0" quotePrefix="0" xfId="0"/>
    <xf numFmtId="0" fontId="27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6" fillId="0" borderId="2" applyAlignment="1" pivotButton="0" quotePrefix="0" xfId="0">
      <alignment horizontal="left"/>
    </xf>
    <xf numFmtId="0" fontId="30" fillId="0" borderId="2" applyAlignment="1" pivotButton="0" quotePrefix="0" xfId="0">
      <alignment horizontal="left"/>
    </xf>
    <xf numFmtId="0" fontId="31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2" fillId="0" borderId="0" pivotButton="0" quotePrefix="0" xfId="0"/>
    <xf numFmtId="0" fontId="27" fillId="0" borderId="2" pivotButton="0" quotePrefix="0" xfId="0"/>
    <xf numFmtId="0" fontId="28" fillId="0" borderId="2" pivotButton="0" quotePrefix="0" xfId="0"/>
    <xf numFmtId="0" fontId="22" fillId="0" borderId="2" pivotButton="0" quotePrefix="0" xfId="0"/>
    <xf numFmtId="0" fontId="22" fillId="4" borderId="2" pivotButton="0" quotePrefix="0" xfId="0"/>
    <xf numFmtId="0" fontId="22" fillId="4" borderId="2" applyAlignment="1" pivotButton="0" quotePrefix="0" xfId="0">
      <alignment horizontal="center"/>
    </xf>
    <xf numFmtId="0" fontId="25" fillId="0" borderId="2" pivotButton="0" quotePrefix="0" xfId="0"/>
    <xf numFmtId="0" fontId="20" fillId="0" borderId="2" applyAlignment="1" pivotButton="0" quotePrefix="0" xfId="0">
      <alignment horizontal="center"/>
    </xf>
    <xf numFmtId="0" fontId="22" fillId="5" borderId="2" pivotButton="0" quotePrefix="0" xfId="0"/>
    <xf numFmtId="0" fontId="22" fillId="5" borderId="2" applyAlignment="1" pivotButton="0" quotePrefix="0" xfId="0">
      <alignment horizontal="center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9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/>
    </xf>
    <xf numFmtId="0" fontId="33" fillId="5" borderId="1" applyAlignment="1" pivotButton="0" quotePrefix="0" xfId="0">
      <alignment horizontal="center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46289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46289</v>
      </c>
      <c r="C2" s="1" t="n">
        <v>1</v>
      </c>
      <c r="D2" s="1" t="n">
        <v>0</v>
      </c>
    </row>
    <row r="3" ht="13" customHeight="1">
      <c r="A3" s="1" t="inlineStr">
        <is>
          <t>LCH27</t>
        </is>
      </c>
      <c r="B3" s="2" t="n">
        <v>46297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46301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46296</v>
      </c>
      <c r="C5" s="1" t="n">
        <v>1</v>
      </c>
      <c r="D5" s="1" t="n">
        <v>0</v>
      </c>
    </row>
    <row r="6" ht="13" customHeight="1">
      <c r="A6" s="1" t="inlineStr">
        <is>
          <t>LCH27</t>
        </is>
      </c>
      <c r="B6" s="2" t="n">
        <v>46297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46297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46289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46304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46294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46293</v>
      </c>
      <c r="C11" s="1" t="n">
        <v>1</v>
      </c>
      <c r="D11" s="1" t="n">
        <v>0</v>
      </c>
    </row>
    <row r="12" ht="13" customHeight="1">
      <c r="A12" s="1" t="inlineStr">
        <is>
          <t>LCH27</t>
        </is>
      </c>
      <c r="B12" s="2" t="n">
        <v>46289</v>
      </c>
      <c r="C12" s="1" t="n">
        <v>0</v>
      </c>
      <c r="D12" s="1" t="n">
        <v>1</v>
      </c>
    </row>
    <row r="13" ht="13" customHeight="1">
      <c r="A13" s="1" t="inlineStr">
        <is>
          <t>BKK27</t>
        </is>
      </c>
      <c r="B13" s="2" t="n">
        <v>46294</v>
      </c>
      <c r="C13" s="1" t="n">
        <v>0</v>
      </c>
      <c r="D13" s="1" t="n">
        <v>1</v>
      </c>
    </row>
    <row r="14" ht="13" customHeight="1">
      <c r="A14" s="1" t="inlineStr">
        <is>
          <t>LCH27</t>
        </is>
      </c>
      <c r="B14" s="2" t="n">
        <v>46298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46293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46297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46290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46296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46302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46295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46295</v>
      </c>
      <c r="C21" s="1" t="n">
        <v>0</v>
      </c>
      <c r="D21" s="1" t="n">
        <v>1</v>
      </c>
    </row>
    <row r="22" ht="13" customHeight="1">
      <c r="A22" s="1" t="inlineStr">
        <is>
          <t>LCH27</t>
        </is>
      </c>
      <c r="B22" s="2" t="n">
        <v>46289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46302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46290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46291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46301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46290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46289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46289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46303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46296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46298</v>
      </c>
      <c r="C32" s="1" t="n">
        <v>0</v>
      </c>
      <c r="D32" s="1" t="n">
        <v>1</v>
      </c>
    </row>
    <row r="33" ht="13" customHeight="1">
      <c r="A33" s="1" t="inlineStr">
        <is>
          <t>BKK27</t>
        </is>
      </c>
      <c r="B33" s="2" t="n">
        <v>46293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46298</v>
      </c>
      <c r="C34" s="1" t="n">
        <v>0</v>
      </c>
      <c r="D34" s="1" t="n">
        <v>1</v>
      </c>
    </row>
    <row r="35" ht="13" customHeight="1">
      <c r="A35" s="1" t="inlineStr">
        <is>
          <t>LCH27</t>
        </is>
      </c>
      <c r="B35" s="2" t="n">
        <v>46295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46293</v>
      </c>
      <c r="C36" s="1" t="n">
        <v>0</v>
      </c>
      <c r="D36" s="1" t="n">
        <v>1</v>
      </c>
    </row>
    <row r="37" ht="13" customHeight="1">
      <c r="A37" s="1" t="inlineStr">
        <is>
          <t>LCH27</t>
        </is>
      </c>
      <c r="B37" s="2" t="n">
        <v>46305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46295</v>
      </c>
      <c r="C38" s="1" t="n">
        <v>0</v>
      </c>
      <c r="D38" s="1" t="n">
        <v>1</v>
      </c>
    </row>
    <row r="39" ht="13" customHeight="1">
      <c r="A39" s="1" t="inlineStr">
        <is>
          <t>BKK27</t>
        </is>
      </c>
      <c r="B39" s="2" t="n">
        <v>46302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46294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46290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46291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46294</v>
      </c>
      <c r="C43" s="1" t="n">
        <v>0</v>
      </c>
      <c r="D43" s="1" t="n">
        <v>1</v>
      </c>
    </row>
    <row r="44" ht="13" customHeight="1">
      <c r="A44" s="1" t="inlineStr">
        <is>
          <t>LCH27</t>
        </is>
      </c>
      <c r="B44" s="2" t="n">
        <v>46291</v>
      </c>
      <c r="C44" s="1" t="n">
        <v>0</v>
      </c>
      <c r="D44" s="1" t="n">
        <v>1</v>
      </c>
    </row>
    <row r="45" ht="13" customHeight="1">
      <c r="A45" s="1" t="inlineStr">
        <is>
          <t>LCH27</t>
        </is>
      </c>
      <c r="B45" s="2" t="n">
        <v>46295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46302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46300</v>
      </c>
      <c r="C47" s="1" t="n">
        <v>0</v>
      </c>
      <c r="D47" s="1" t="n">
        <v>1</v>
      </c>
    </row>
    <row r="48" ht="13" customHeight="1">
      <c r="A48" s="1" t="inlineStr">
        <is>
          <t>BKK27</t>
        </is>
      </c>
      <c r="B48" s="2" t="n">
        <v>46295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46300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46293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46294</v>
      </c>
      <c r="C51" s="1" t="n">
        <v>0</v>
      </c>
      <c r="D51" s="1" t="n">
        <v>1</v>
      </c>
    </row>
    <row r="52" ht="13" customHeight="1">
      <c r="A52" s="1" t="inlineStr">
        <is>
          <t>BKK27</t>
        </is>
      </c>
      <c r="B52" s="2" t="n">
        <v>46293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46295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46289</v>
      </c>
      <c r="C54" s="1" t="n">
        <v>0</v>
      </c>
      <c r="D54" s="1" t="n">
        <v>1</v>
      </c>
    </row>
    <row r="55" ht="13" customHeight="1">
      <c r="A55" s="1" t="inlineStr">
        <is>
          <t>LCH27</t>
        </is>
      </c>
      <c r="B55" s="2" t="n">
        <v>46289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46303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46296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46290</v>
      </c>
      <c r="C58" s="1" t="n">
        <v>0</v>
      </c>
      <c r="D58" s="1" t="n">
        <v>1</v>
      </c>
    </row>
    <row r="59" ht="13" customHeight="1">
      <c r="A59" s="1" t="inlineStr">
        <is>
          <t>LCH27</t>
        </is>
      </c>
      <c r="B59" s="2" t="n">
        <v>46290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46302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46297</v>
      </c>
      <c r="C61" s="1" t="n">
        <v>0</v>
      </c>
      <c r="D61" s="1" t="n">
        <v>1</v>
      </c>
    </row>
    <row r="62" ht="13" customHeight="1">
      <c r="A62" s="1" t="inlineStr">
        <is>
          <t>BKK27</t>
        </is>
      </c>
      <c r="B62" s="2" t="n">
        <v>46296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46302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46289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46293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46293</v>
      </c>
      <c r="C66" s="1" t="n">
        <v>0</v>
      </c>
      <c r="D66" s="1" t="n">
        <v>1</v>
      </c>
    </row>
    <row r="67" ht="13" customHeight="1">
      <c r="A67" s="1" t="inlineStr">
        <is>
          <t>BKK27</t>
        </is>
      </c>
      <c r="B67" s="2" t="n">
        <v>46295</v>
      </c>
      <c r="C67" s="1" t="n">
        <v>0</v>
      </c>
      <c r="D67" s="1" t="n">
        <v>1</v>
      </c>
    </row>
    <row r="68" ht="13" customHeight="1">
      <c r="A68" s="1" t="inlineStr">
        <is>
          <t>BKK27</t>
        </is>
      </c>
      <c r="B68" s="2" t="n">
        <v>46291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46295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46303</v>
      </c>
      <c r="C70" s="1" t="n">
        <v>0</v>
      </c>
      <c r="D70" s="1" t="n">
        <v>2</v>
      </c>
    </row>
    <row r="71" ht="13" customHeight="1">
      <c r="A71" s="1" t="inlineStr">
        <is>
          <t>LCH27</t>
        </is>
      </c>
      <c r="B71" s="2" t="n">
        <v>46303</v>
      </c>
      <c r="C71" s="1" t="n">
        <v>0</v>
      </c>
      <c r="D71" s="1" t="n">
        <v>2</v>
      </c>
    </row>
    <row r="72" ht="13" customHeight="1">
      <c r="A72" s="1" t="inlineStr">
        <is>
          <t>LCH27</t>
        </is>
      </c>
      <c r="B72" s="2" t="n">
        <v>46297</v>
      </c>
      <c r="C72" s="1" t="n">
        <v>0</v>
      </c>
      <c r="D72" s="1" t="n">
        <v>3</v>
      </c>
    </row>
    <row r="73" ht="13" customHeight="1">
      <c r="A73" s="1" t="inlineStr">
        <is>
          <t>LCH27</t>
        </is>
      </c>
      <c r="B73" s="2" t="n">
        <v>46294</v>
      </c>
      <c r="C73" s="1" t="n">
        <v>0</v>
      </c>
      <c r="D73" s="1" t="n">
        <v>4</v>
      </c>
    </row>
    <row r="74" ht="13" customHeight="1">
      <c r="A74" s="1" t="inlineStr">
        <is>
          <t>BKK27</t>
        </is>
      </c>
      <c r="B74" s="2" t="n">
        <v>46293</v>
      </c>
      <c r="C74" s="1" t="n">
        <v>0</v>
      </c>
      <c r="D74" s="1" t="n">
        <v>5</v>
      </c>
    </row>
    <row r="75" ht="13" customHeight="1">
      <c r="A75" s="1" t="inlineStr">
        <is>
          <t>BKK27</t>
        </is>
      </c>
      <c r="B75" s="2" t="n">
        <v>46293</v>
      </c>
      <c r="C75" s="1" t="n">
        <v>0</v>
      </c>
      <c r="D75" s="1" t="n">
        <v>6</v>
      </c>
    </row>
    <row r="76" ht="13" customHeight="1">
      <c r="A76" s="1" t="inlineStr">
        <is>
          <t>BKK27</t>
        </is>
      </c>
      <c r="B76" s="2" t="n">
        <v>46301</v>
      </c>
      <c r="C76" s="1" t="n">
        <v>0</v>
      </c>
      <c r="D76" s="1" t="n">
        <v>7</v>
      </c>
    </row>
    <row r="77" ht="13" customHeight="1">
      <c r="A77" s="1" t="inlineStr">
        <is>
          <t>LCH27</t>
        </is>
      </c>
      <c r="B77" s="2" t="n">
        <v>46284</v>
      </c>
      <c r="C77" s="1" t="n">
        <v>0</v>
      </c>
      <c r="D77" s="1" t="n">
        <v>1</v>
      </c>
    </row>
    <row r="78" ht="13" customHeight="1">
      <c r="A78" s="1" t="inlineStr">
        <is>
          <t>LCH27</t>
        </is>
      </c>
      <c r="B78" s="2" t="n">
        <v>46284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46284</v>
      </c>
      <c r="C79" s="1" t="n">
        <v>0</v>
      </c>
      <c r="D79" s="1" t="n">
        <v>1</v>
      </c>
    </row>
    <row r="80" ht="13" customHeight="1">
      <c r="A80" s="1" t="inlineStr">
        <is>
          <t>BKK27</t>
        </is>
      </c>
      <c r="B80" s="2" t="n">
        <v>46288</v>
      </c>
      <c r="C80" s="1" t="n">
        <v>0</v>
      </c>
      <c r="D80" s="1" t="n">
        <v>1</v>
      </c>
    </row>
    <row r="81" ht="13" customHeight="1">
      <c r="A81" s="1" t="inlineStr">
        <is>
          <t>LCH27</t>
        </is>
      </c>
      <c r="B81" s="2" t="n">
        <v>46283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46283</v>
      </c>
      <c r="C82" s="1" t="n">
        <v>0</v>
      </c>
      <c r="D82" s="1" t="n">
        <v>1</v>
      </c>
    </row>
    <row r="83" ht="13" customHeight="1">
      <c r="A83" s="1" t="inlineStr">
        <is>
          <t>BKK27</t>
        </is>
      </c>
      <c r="B83" s="2" t="n">
        <v>46288</v>
      </c>
      <c r="C83" s="1" t="n">
        <v>0</v>
      </c>
      <c r="D83" s="1" t="n">
        <v>1</v>
      </c>
    </row>
    <row r="84" ht="13" customHeight="1">
      <c r="A84" s="1" t="inlineStr">
        <is>
          <t>BKK27</t>
        </is>
      </c>
      <c r="B84" s="2" t="n">
        <v>46288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46279</v>
      </c>
      <c r="C85" s="1" t="n">
        <v>0</v>
      </c>
      <c r="D85" s="1" t="n">
        <v>1</v>
      </c>
    </row>
    <row r="86" ht="13" customHeight="1">
      <c r="A86" s="1" t="inlineStr">
        <is>
          <t>LCH27</t>
        </is>
      </c>
      <c r="B86" s="2" t="n">
        <v>46279</v>
      </c>
      <c r="C86" s="1" t="n">
        <v>0</v>
      </c>
      <c r="D86" s="1" t="n">
        <v>1</v>
      </c>
    </row>
    <row r="87" ht="13" customHeight="1">
      <c r="A87" s="1" t="inlineStr">
        <is>
          <t>LCH27</t>
        </is>
      </c>
      <c r="B87" s="2" t="n">
        <v>46286</v>
      </c>
      <c r="C87" s="1" t="n">
        <v>0</v>
      </c>
      <c r="D87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OER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BKK27</t>
        </is>
      </c>
      <c r="B9" s="1" t="inlineStr">
        <is>
          <t>45RE</t>
        </is>
      </c>
      <c r="C9" s="1" t="inlineStr">
        <is>
          <t>IED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IED</t>
        </is>
      </c>
    </row>
    <row r="11" ht="13" customHeight="1">
      <c r="A11" s="1" t="inlineStr">
        <is>
          <t>BKK27</t>
        </is>
      </c>
      <c r="B11" s="1" t="inlineStr">
        <is>
          <t>45RE</t>
        </is>
      </c>
      <c r="C11" s="1" t="inlineStr">
        <is>
          <t>IED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IED</t>
        </is>
      </c>
    </row>
    <row r="13" ht="13" customHeight="1">
      <c r="A13" s="1" t="inlineStr">
        <is>
          <t>LCH27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LCH27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LCH27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LCH27</t>
        </is>
      </c>
      <c r="B16" s="1" t="inlineStr">
        <is>
          <t>45RE</t>
        </is>
      </c>
      <c r="C16" s="1" t="inlineStr">
        <is>
          <t>IER</t>
        </is>
      </c>
    </row>
    <row r="17" ht="13" customHeight="1">
      <c r="A17" s="1" t="inlineStr">
        <is>
          <t>LCH27</t>
        </is>
      </c>
      <c r="B17" s="1" t="inlineStr">
        <is>
          <t>45RE</t>
        </is>
      </c>
      <c r="C17" s="1" t="inlineStr">
        <is>
          <t>OER</t>
        </is>
      </c>
    </row>
    <row r="18" ht="13" customHeight="1">
      <c r="A18" s="1" t="inlineStr">
        <is>
          <t>LCH27</t>
        </is>
      </c>
      <c r="B18" s="1" t="inlineStr">
        <is>
          <t>45RE</t>
        </is>
      </c>
      <c r="C18" s="1" t="inlineStr">
        <is>
          <t>OER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22RE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45RE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BKK27</t>
        </is>
      </c>
      <c r="B28" s="1" t="inlineStr">
        <is>
          <t>22RE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45RE</t>
        </is>
      </c>
      <c r="C31" s="1" t="inlineStr">
        <is>
          <t>IER</t>
        </is>
      </c>
    </row>
    <row r="32" ht="13" customHeight="1">
      <c r="A32" s="1" t="inlineStr">
        <is>
          <t>BKK27</t>
        </is>
      </c>
      <c r="B32" s="1" t="inlineStr">
        <is>
          <t>45RE</t>
        </is>
      </c>
      <c r="C32" s="1" t="inlineStr">
        <is>
          <t>IER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BKK27</t>
        </is>
      </c>
      <c r="B34" s="1" t="inlineStr">
        <is>
          <t>45RE</t>
        </is>
      </c>
      <c r="C34" s="1" t="inlineStr">
        <is>
          <t>IER</t>
        </is>
      </c>
    </row>
    <row r="35" ht="13" customHeight="1">
      <c r="A35" s="1" t="inlineStr">
        <is>
          <t>BKK27</t>
        </is>
      </c>
      <c r="B35" s="1" t="inlineStr">
        <is>
          <t>45RE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45RE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45RE</t>
        </is>
      </c>
      <c r="C37" s="1" t="inlineStr">
        <is>
          <t>IER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BKK27</t>
        </is>
      </c>
      <c r="B40" s="1" t="inlineStr">
        <is>
          <t>45RE</t>
        </is>
      </c>
      <c r="C40" s="1" t="inlineStr">
        <is>
          <t>IER</t>
        </is>
      </c>
    </row>
    <row r="41" ht="13" customHeight="1">
      <c r="A41" s="1" t="inlineStr">
        <is>
          <t>BKK27</t>
        </is>
      </c>
      <c r="B41" s="1" t="inlineStr">
        <is>
          <t>22RE</t>
        </is>
      </c>
      <c r="C41" s="1" t="inlineStr">
        <is>
          <t>OER</t>
        </is>
      </c>
    </row>
    <row r="42" ht="13" customHeight="1">
      <c r="A42" s="1" t="inlineStr">
        <is>
          <t>BKK27</t>
        </is>
      </c>
      <c r="B42" s="1" t="inlineStr">
        <is>
          <t>22RE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45RE</t>
        </is>
      </c>
      <c r="C43" s="1" t="inlineStr">
        <is>
          <t>OER</t>
        </is>
      </c>
    </row>
    <row r="44" ht="13" customHeight="1">
      <c r="A44" s="1" t="inlineStr">
        <is>
          <t>BKK27</t>
        </is>
      </c>
      <c r="B44" s="1" t="inlineStr">
        <is>
          <t>45RE</t>
        </is>
      </c>
      <c r="C44" s="1" t="inlineStr">
        <is>
          <t>OER</t>
        </is>
      </c>
    </row>
    <row r="45" ht="13" customHeight="1">
      <c r="A45" s="1" t="inlineStr">
        <is>
          <t>BKK27</t>
        </is>
      </c>
      <c r="B45" s="1" t="inlineStr">
        <is>
          <t>22RE</t>
        </is>
      </c>
      <c r="C45" s="1" t="inlineStr">
        <is>
          <t>OER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OER</t>
        </is>
      </c>
    </row>
    <row r="47" ht="13" customHeight="1">
      <c r="A47" s="1" t="inlineStr">
        <is>
          <t>BKK27</t>
        </is>
      </c>
      <c r="B47" s="1" t="inlineStr">
        <is>
          <t>45RE</t>
        </is>
      </c>
      <c r="C47" s="1" t="inlineStr">
        <is>
          <t>IED</t>
        </is>
      </c>
    </row>
    <row r="48" ht="13" customHeight="1">
      <c r="A48" s="1" t="inlineStr">
        <is>
          <t>BKK27</t>
        </is>
      </c>
      <c r="B48" s="1" t="inlineStr">
        <is>
          <t>45RE</t>
        </is>
      </c>
      <c r="C48" s="1" t="inlineStr">
        <is>
          <t>OER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IED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OER</t>
        </is>
      </c>
    </row>
    <row r="51" ht="13" customHeight="1">
      <c r="A51" s="1" t="inlineStr">
        <is>
          <t>BKK27</t>
        </is>
      </c>
      <c r="B51" s="1" t="inlineStr">
        <is>
          <t>22RE</t>
        </is>
      </c>
      <c r="C51" s="1" t="inlineStr">
        <is>
          <t>OER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IED</t>
        </is>
      </c>
    </row>
    <row r="53" ht="13" customHeight="1">
      <c r="A53" s="1" t="inlineStr">
        <is>
          <t>BKK27</t>
        </is>
      </c>
      <c r="B53" s="1" t="inlineStr">
        <is>
          <t>22RE</t>
        </is>
      </c>
      <c r="C53" s="1" t="inlineStr">
        <is>
          <t>OER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45RE</t>
        </is>
      </c>
      <c r="C55" s="1" t="inlineStr">
        <is>
          <t>IED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OER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OER</t>
        </is>
      </c>
    </row>
    <row r="58" ht="13" customHeight="1">
      <c r="A58" s="1" t="inlineStr">
        <is>
          <t>BKK27</t>
        </is>
      </c>
      <c r="B58" s="1" t="inlineStr">
        <is>
          <t>22RE</t>
        </is>
      </c>
      <c r="C58" s="1" t="inlineStr">
        <is>
          <t>OER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OER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OER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OER</t>
        </is>
      </c>
    </row>
    <row r="62" ht="13" customHeight="1">
      <c r="A62" s="1" t="inlineStr">
        <is>
          <t>BKK27</t>
        </is>
      </c>
      <c r="B62" s="1" t="inlineStr">
        <is>
          <t>45RE</t>
        </is>
      </c>
      <c r="C62" s="1" t="inlineStr">
        <is>
          <t>IED</t>
        </is>
      </c>
    </row>
    <row r="63" ht="13" customHeight="1">
      <c r="A63" s="1" t="inlineStr">
        <is>
          <t>BKK27</t>
        </is>
      </c>
      <c r="B63" s="1" t="inlineStr">
        <is>
          <t>45RE</t>
        </is>
      </c>
      <c r="C63" s="1" t="inlineStr">
        <is>
          <t>OER</t>
        </is>
      </c>
    </row>
    <row r="64" ht="13" customHeight="1">
      <c r="A64" s="1" t="inlineStr">
        <is>
          <t>BKK27</t>
        </is>
      </c>
      <c r="B64" s="1" t="inlineStr">
        <is>
          <t>45RE</t>
        </is>
      </c>
      <c r="C64" s="1" t="inlineStr">
        <is>
          <t>OER</t>
        </is>
      </c>
    </row>
    <row r="65" ht="13" customHeight="1">
      <c r="A65" s="1" t="inlineStr">
        <is>
          <t>BKK27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IED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IED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BKK27</t>
        </is>
      </c>
      <c r="B70" s="1" t="inlineStr">
        <is>
          <t>45RE</t>
        </is>
      </c>
      <c r="C70" s="1" t="inlineStr">
        <is>
          <t>IED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IER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LCH27</t>
        </is>
      </c>
      <c r="B74" s="1" t="inlineStr">
        <is>
          <t>22RE</t>
        </is>
      </c>
      <c r="C74" s="1" t="inlineStr">
        <is>
          <t>IER</t>
        </is>
      </c>
    </row>
    <row r="75" ht="13" customHeight="1">
      <c r="A75" s="1" t="inlineStr">
        <is>
          <t>LCH27</t>
        </is>
      </c>
      <c r="B75" s="1" t="inlineStr">
        <is>
          <t>22RE</t>
        </is>
      </c>
      <c r="C75" s="1" t="inlineStr">
        <is>
          <t>IER</t>
        </is>
      </c>
    </row>
    <row r="76" ht="13" customHeight="1">
      <c r="A76" s="1" t="inlineStr">
        <is>
          <t>LCH27</t>
        </is>
      </c>
      <c r="B76" s="1" t="inlineStr">
        <is>
          <t>22RE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IER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IER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OER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OER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OER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OER</t>
        </is>
      </c>
    </row>
    <row r="92" ht="13" customHeight="1">
      <c r="A92" s="1" t="inlineStr">
        <is>
          <t>LCH27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LCH27</t>
        </is>
      </c>
      <c r="B93" s="1" t="inlineStr">
        <is>
          <t>45RE</t>
        </is>
      </c>
      <c r="C93" s="1" t="inlineStr">
        <is>
          <t>OER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OER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OER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OER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OER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OER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OER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IER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30</v>
      </c>
      <c r="D4" s="10" t="n">
        <v>33</v>
      </c>
      <c r="E4" s="1" t="n"/>
      <c r="F4" s="1" t="n"/>
      <c r="G4" s="1" t="n"/>
      <c r="H4" s="9" t="inlineStr">
        <is>
          <t>Stock empty in yard</t>
        </is>
      </c>
      <c r="I4" s="10" t="n">
        <v>6</v>
      </c>
      <c r="J4" s="10" t="n">
        <v>38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9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9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SUMIFS(BookingRaw!$C$2:$C$8000,BookingRaw!$A$2:$A$8000,"BKK27",BookingRaw!$B$2:$B$8000,"&gt;="&amp;Control!$B6,BookingRaw!$B$2:$B$8000,"&lt;="&amp;DATE(2026,10,10))</f>
        <v/>
      </c>
      <c r="D11" s="7">
        <f>SUMIFS(BookingRaw!$D$2:$D$8000,BookingRaw!$A$2:$A$8000,"BKK27",BookingRaw!$B$2:$B$8000,"&gt;="&amp;Control!$B6,BookingRaw!$B$2:$B$8000,"&lt;="&amp;DATE(2026,10,10))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SUMIFS(BookingRaw!$C$2:$C$8000,BookingRaw!$A$2:$A$8000,"LCH27",BookingRaw!$B$2:$B$8000,"&gt;="&amp;Control!$B6,BookingRaw!$B$2:$B$8000,"&lt;="&amp;DATE(2026,10,10))</f>
        <v/>
      </c>
      <c r="J11" s="7">
        <f>SUMIFS(BookingRaw!$D$2:$D$8000,BookingRaw!$A$2:$A$8000,"LCH27",BookingRaw!$B$2:$B$8000,"&gt;="&amp;Control!$B6,BookingRaw!$B$2:$B$8000,"&lt;="&amp;DATE(2026,10,10))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9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$108,"BKK27",StockRaw!$B$2:$B$108,"22RE",StockRaw!$C$2:$C$108,"IED")+COUNTIFS(StockRaw!$A$2:$A$108,"BKK27",StockRaw!$B$2:$B$108,"22RE",StockRaw!$C$2:$C$108,"IEP")+COUNTIFS(StockRaw!$A$2:$A$108,"BKK27",StockRaw!$B$2:$B$108,"22RE",StockRaw!$C$2:$C$108,"IER")</f>
        <v/>
      </c>
      <c r="D16" s="8">
        <f>COUNTIFS(StockRaw!$A$2:$A$108,"BKK27",StockRaw!$B$2:$B$108,"45RE",StockRaw!$C$2:$C$108,"IED")+COUNTIFS(StockRaw!$A$2:$A$108,"BKK27",StockRaw!$B$2:$B$108,"45RE",StockRaw!$C$2:$C$108,"IEP")+COUNTIFS(StockRaw!$A$2:$A$108,"BKK27",StockRaw!$B$2:$B$108,"45RE",StockRaw!$C$2:$C$108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$108,"LCH27",StockRaw!$B$2:$B$108,"22RE",StockRaw!$C$2:$C$108,"IED")+COUNTIFS(StockRaw!$A$2:$A$108,"LCH27",StockRaw!$B$2:$B$108,"22RE",StockRaw!$C$2:$C$108,"IEP")+COUNTIFS(StockRaw!$A$2:$A$108,"LCH27",StockRaw!$B$2:$B$108,"22RE",StockRaw!$C$2:$C$108,"IER")</f>
        <v/>
      </c>
      <c r="J16" s="8">
        <f>COUNTIFS(StockRaw!$A$2:$A$108,"LCH27",StockRaw!$B$2:$B$108,"45RE",StockRaw!$C$2:$C$108,"IED")+COUNTIFS(StockRaw!$A$2:$A$108,"LCH27",StockRaw!$B$2:$B$108,"45RE",StockRaw!$C$2:$C$108,"IEP")+COUNTIFS(StockRaw!$A$2:$A$108,"LCH27",StockRaw!$B$2:$B$108,"45RE",StockRaw!$C$2:$C$108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COUNTIFS(StockRaw!$A$2:$A$108,"BKK27",StockRaw!$B$2:$B$108,"22RE",StockRaw!$C$2:$C$108,"OER")</f>
        <v/>
      </c>
      <c r="D17" s="8">
        <f>COUNTIFS(StockRaw!$A$2:$A$108,"BKK27",StockRaw!$B$2:$B$108,"45RE",StockRaw!$C$2:$C$108,"OER")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COUNTIFS(StockRaw!$A$2:$A$108,"LCH27",StockRaw!$B$2:$B$108,"22RE",StockRaw!$C$2:$C$108,"OER")</f>
        <v/>
      </c>
      <c r="J17" s="8">
        <f>COUNTIFS(StockRaw!$A$2:$A$108,"LCH27",StockRaw!$B$2:$B$108,"45RE",StockRaw!$C$2:$C$108,"OER")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5</v>
      </c>
      <c r="D24" s="8" t="n">
        <v>0</v>
      </c>
      <c r="E24" s="8" t="n">
        <v>0</v>
      </c>
      <c r="F24" s="1" t="n"/>
      <c r="G24" s="1" t="n"/>
      <c r="H24" s="8" t="n">
        <v>2025</v>
      </c>
      <c r="I24" s="8" t="n">
        <v>8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1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3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7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7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13</v>
      </c>
      <c r="D29" s="6" t="n">
        <v>0</v>
      </c>
      <c r="E29" s="6" t="n">
        <v>0</v>
      </c>
      <c r="F29" s="1" t="n"/>
      <c r="G29" s="1" t="n"/>
      <c r="H29" s="6" t="inlineStr">
        <is>
          <t>TOTAL</t>
        </is>
      </c>
      <c r="I29" s="6" t="n">
        <v>18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20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20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3" t="inlineStr">
        <is>
          <t>BKK27 / BC2  —  Stock by Built Year x Brand x Size</t>
        </is>
      </c>
      <c r="C33" s="56" t="n"/>
      <c r="D33" s="56" t="n"/>
      <c r="E33" s="56" t="n"/>
      <c r="F33" s="56" t="n"/>
      <c r="G33" s="56" t="n"/>
      <c r="H33" s="57" t="n"/>
      <c r="I33" s="1" t="n"/>
      <c r="J33" s="3" t="inlineStr">
        <is>
          <t>LCH27 / HAST  —  Stock by Built Year x Brand x Size</t>
        </is>
      </c>
      <c r="K33" s="56" t="n"/>
      <c r="L33" s="56" t="n"/>
      <c r="M33" s="56" t="n"/>
      <c r="N33" s="56" t="n"/>
      <c r="O33" s="56" t="n"/>
      <c r="P33" s="57" t="n"/>
    </row>
    <row r="34" ht="26" customHeight="1">
      <c r="A34" s="1" t="n"/>
      <c r="B34" s="18" t="inlineStr">
        <is>
          <t>YEAR
BUILT</t>
        </is>
      </c>
      <c r="C34" s="4" t="inlineStr">
        <is>
          <t>CARRIER</t>
        </is>
      </c>
      <c r="D34" s="57" t="n"/>
      <c r="E34" s="4" t="inlineStr">
        <is>
          <t>DAIKIN</t>
        </is>
      </c>
      <c r="F34" s="57" t="n"/>
      <c r="G34" s="4" t="inlineStr">
        <is>
          <t>THERMO KING</t>
        </is>
      </c>
      <c r="H34" s="57" t="n"/>
      <c r="I34" s="1" t="n"/>
      <c r="J34" s="18" t="inlineStr">
        <is>
          <t>YEAR
BUILT</t>
        </is>
      </c>
      <c r="K34" s="4" t="inlineStr">
        <is>
          <t>CARRIER</t>
        </is>
      </c>
      <c r="L34" s="57" t="n"/>
      <c r="M34" s="4" t="inlineStr">
        <is>
          <t>DAIKIN</t>
        </is>
      </c>
      <c r="N34" s="57" t="n"/>
      <c r="O34" s="4" t="inlineStr">
        <is>
          <t>THERMO KING</t>
        </is>
      </c>
      <c r="P34" s="57" t="n"/>
    </row>
    <row r="35" ht="13" customHeight="1">
      <c r="A35" s="1" t="n"/>
      <c r="B35" s="60" t="n"/>
      <c r="C35" s="22" t="inlineStr">
        <is>
          <t>20'RE</t>
        </is>
      </c>
      <c r="D35" s="22" t="inlineStr">
        <is>
          <t>40'RH</t>
        </is>
      </c>
      <c r="E35" s="22" t="inlineStr">
        <is>
          <t>20'RE</t>
        </is>
      </c>
      <c r="F35" s="22" t="inlineStr">
        <is>
          <t>40'RH</t>
        </is>
      </c>
      <c r="G35" s="22" t="inlineStr">
        <is>
          <t>20'RE</t>
        </is>
      </c>
      <c r="H35" s="22" t="inlineStr">
        <is>
          <t>40'RH</t>
        </is>
      </c>
      <c r="I35" s="1" t="n"/>
      <c r="J35" s="60" t="n"/>
      <c r="K35" s="22" t="inlineStr">
        <is>
          <t>20'RE</t>
        </is>
      </c>
      <c r="L35" s="22" t="inlineStr">
        <is>
          <t>40'RH</t>
        </is>
      </c>
      <c r="M35" s="22" t="inlineStr">
        <is>
          <t>20'RE</t>
        </is>
      </c>
      <c r="N35" s="22" t="inlineStr">
        <is>
          <t>40'RH</t>
        </is>
      </c>
      <c r="O35" s="22" t="inlineStr">
        <is>
          <t>20'RE</t>
        </is>
      </c>
      <c r="P35" s="22" t="inlineStr">
        <is>
          <t>40'RH</t>
        </is>
      </c>
    </row>
    <row r="36" ht="13" customHeight="1">
      <c r="A36" s="1" t="n"/>
      <c r="B36" s="23" t="n">
        <v>2026</v>
      </c>
      <c r="C36" s="24" t="n"/>
      <c r="D36" s="24" t="n"/>
      <c r="E36" s="24" t="n"/>
      <c r="F36" s="24" t="n"/>
      <c r="G36" s="24" t="n"/>
      <c r="H36" s="24" t="n"/>
      <c r="I36" s="1" t="n"/>
      <c r="J36" s="23" t="n">
        <v>2026</v>
      </c>
      <c r="K36" s="24" t="n"/>
      <c r="L36" s="24" t="n"/>
      <c r="M36" s="24" t="n"/>
      <c r="N36" s="24" t="n"/>
      <c r="O36" s="24" t="n"/>
      <c r="P36" s="24" t="n"/>
    </row>
    <row r="37" ht="13" customHeight="1">
      <c r="A37" s="1" t="n"/>
      <c r="B37" s="23" t="n">
        <v>2025</v>
      </c>
      <c r="C37" s="24" t="n"/>
      <c r="D37" s="24" t="n">
        <v>5</v>
      </c>
      <c r="E37" s="24" t="n">
        <v>3</v>
      </c>
      <c r="F37" s="24" t="n"/>
      <c r="G37" s="24" t="n"/>
      <c r="H37" s="24" t="n"/>
      <c r="I37" s="1" t="n"/>
      <c r="J37" s="23" t="n">
        <v>2025</v>
      </c>
      <c r="K37" s="24" t="n"/>
      <c r="L37" s="24" t="n">
        <v>8</v>
      </c>
      <c r="M37" s="24" t="n"/>
      <c r="N37" s="24" t="n"/>
      <c r="O37" s="24" t="n"/>
      <c r="P37" s="24" t="n"/>
    </row>
    <row r="38" ht="13" customHeight="1">
      <c r="A38" s="1" t="n"/>
      <c r="B38" s="23" t="n">
        <v>2024</v>
      </c>
      <c r="C38" s="24" t="n"/>
      <c r="D38" s="24" t="n"/>
      <c r="E38" s="24" t="n"/>
      <c r="F38" s="24" t="n"/>
      <c r="G38" s="24" t="n"/>
      <c r="H38" s="24" t="n"/>
      <c r="I38" s="1" t="n"/>
      <c r="J38" s="23" t="n">
        <v>2024</v>
      </c>
      <c r="K38" s="24" t="n"/>
      <c r="L38" s="24" t="n"/>
      <c r="M38" s="24" t="n"/>
      <c r="N38" s="24" t="n"/>
      <c r="O38" s="24" t="n"/>
      <c r="P38" s="24" t="n"/>
    </row>
    <row r="39" ht="13" customHeight="1">
      <c r="A39" s="1" t="n"/>
      <c r="B39" s="23" t="n">
        <v>2023</v>
      </c>
      <c r="C39" s="24" t="n"/>
      <c r="D39" s="24" t="n">
        <v>1</v>
      </c>
      <c r="E39" s="24" t="n"/>
      <c r="F39" s="24" t="n"/>
      <c r="G39" s="24" t="n"/>
      <c r="H39" s="24" t="n"/>
      <c r="I39" s="1" t="n"/>
      <c r="J39" s="23" t="n">
        <v>2023</v>
      </c>
      <c r="K39" s="24" t="n"/>
      <c r="L39" s="24" t="n">
        <v>3</v>
      </c>
      <c r="M39" s="24" t="n"/>
      <c r="N39" s="24" t="n"/>
      <c r="O39" s="24" t="n"/>
      <c r="P39" s="24" t="n"/>
    </row>
    <row r="40" ht="13" customHeight="1">
      <c r="A40" s="1" t="n"/>
      <c r="B40" s="23" t="n">
        <v>2022</v>
      </c>
      <c r="C40" s="24" t="n"/>
      <c r="D40" s="24" t="n"/>
      <c r="E40" s="24" t="n"/>
      <c r="F40" s="24" t="n"/>
      <c r="G40" s="24" t="n"/>
      <c r="H40" s="24" t="n"/>
      <c r="I40" s="1" t="n"/>
      <c r="J40" s="23" t="n">
        <v>2022</v>
      </c>
      <c r="K40" s="24" t="n"/>
      <c r="L40" s="24" t="n"/>
      <c r="M40" s="24" t="n"/>
      <c r="N40" s="24" t="n"/>
      <c r="O40" s="24" t="n"/>
      <c r="P40" s="24" t="n"/>
    </row>
    <row r="41" ht="13" customHeight="1">
      <c r="A41" s="1" t="n"/>
      <c r="B41" s="23" t="n">
        <v>2021</v>
      </c>
      <c r="C41" s="24" t="n">
        <v>8</v>
      </c>
      <c r="D41" s="24" t="n">
        <v>7</v>
      </c>
      <c r="E41" s="24" t="n"/>
      <c r="F41" s="24" t="n"/>
      <c r="G41" s="24" t="n"/>
      <c r="H41" s="24" t="n"/>
      <c r="I41" s="1" t="n"/>
      <c r="J41" s="23" t="n">
        <v>2021</v>
      </c>
      <c r="K41" s="24" t="n">
        <v>1</v>
      </c>
      <c r="L41" s="24" t="n">
        <v>7</v>
      </c>
      <c r="M41" s="24" t="n"/>
      <c r="N41" s="24" t="n"/>
      <c r="O41" s="24" t="n"/>
      <c r="P41" s="24" t="n"/>
    </row>
    <row r="42" ht="13" customHeight="1">
      <c r="A42" s="1" t="n"/>
      <c r="B42" s="25" t="n">
        <v>2020</v>
      </c>
      <c r="C42" s="26" t="n">
        <v>1</v>
      </c>
      <c r="D42" s="26" t="n">
        <v>8</v>
      </c>
      <c r="E42" s="26" t="n"/>
      <c r="F42" s="26" t="n"/>
      <c r="G42" s="26" t="n"/>
      <c r="H42" s="26" t="n"/>
      <c r="I42" s="1" t="n"/>
      <c r="J42" s="25" t="n">
        <v>2020</v>
      </c>
      <c r="K42" s="26" t="n"/>
      <c r="L42" s="26" t="n">
        <v>4</v>
      </c>
      <c r="M42" s="26" t="n"/>
      <c r="N42" s="26" t="n"/>
      <c r="O42" s="26" t="n"/>
      <c r="P42" s="26" t="n"/>
    </row>
    <row r="43" ht="13" customHeight="1">
      <c r="A43" s="1" t="n"/>
      <c r="B43" s="25" t="n">
        <v>2019</v>
      </c>
      <c r="C43" s="26" t="n">
        <v>4</v>
      </c>
      <c r="D43" s="26" t="n">
        <v>4</v>
      </c>
      <c r="E43" s="26" t="n"/>
      <c r="F43" s="26" t="n"/>
      <c r="G43" s="26" t="n"/>
      <c r="H43" s="26" t="n"/>
      <c r="I43" s="1" t="n"/>
      <c r="J43" s="25" t="n">
        <v>2019</v>
      </c>
      <c r="K43" s="26" t="n"/>
      <c r="L43" s="26" t="n">
        <v>8</v>
      </c>
      <c r="M43" s="26" t="n"/>
      <c r="N43" s="26" t="n"/>
      <c r="O43" s="26" t="n"/>
      <c r="P43" s="26" t="n"/>
    </row>
    <row r="44" ht="13" customHeight="1">
      <c r="A44" s="1" t="n"/>
      <c r="B44" s="25" t="n">
        <v>2018</v>
      </c>
      <c r="C44" s="26" t="n">
        <v>1</v>
      </c>
      <c r="D44" s="26" t="n"/>
      <c r="E44" s="26" t="n"/>
      <c r="F44" s="26" t="n"/>
      <c r="G44" s="26" t="n"/>
      <c r="H44" s="26" t="n"/>
      <c r="I44" s="1" t="n"/>
      <c r="J44" s="25" t="n">
        <v>2018</v>
      </c>
      <c r="K44" s="26" t="n"/>
      <c r="L44" s="26" t="n">
        <v>1</v>
      </c>
      <c r="M44" s="26" t="n"/>
      <c r="N44" s="26" t="n"/>
      <c r="O44" s="26" t="n"/>
      <c r="P44" s="26" t="n"/>
    </row>
    <row r="45" ht="13" customHeight="1">
      <c r="A45" s="1" t="n"/>
      <c r="B45" s="25" t="n">
        <v>2017</v>
      </c>
      <c r="C45" s="26" t="n">
        <v>1</v>
      </c>
      <c r="D45" s="26" t="n">
        <v>1</v>
      </c>
      <c r="E45" s="26" t="n"/>
      <c r="F45" s="26" t="n"/>
      <c r="G45" s="26" t="n"/>
      <c r="H45" s="26" t="n"/>
      <c r="I45" s="1" t="n"/>
      <c r="J45" s="25" t="n">
        <v>2017</v>
      </c>
      <c r="K45" s="26" t="n">
        <v>2</v>
      </c>
      <c r="L45" s="26" t="n"/>
      <c r="M45" s="26" t="n"/>
      <c r="N45" s="26" t="n"/>
      <c r="O45" s="26" t="n"/>
      <c r="P45" s="26" t="n"/>
    </row>
    <row r="46" ht="13" customHeight="1">
      <c r="A46" s="1" t="n"/>
      <c r="B46" s="25" t="n">
        <v>2016</v>
      </c>
      <c r="C46" s="26" t="n">
        <v>2</v>
      </c>
      <c r="D46" s="26" t="n"/>
      <c r="E46" s="26" t="n">
        <v>1</v>
      </c>
      <c r="F46" s="26" t="n"/>
      <c r="G46" s="26" t="n"/>
      <c r="H46" s="26" t="n"/>
      <c r="I46" s="1" t="n"/>
      <c r="J46" s="25" t="n">
        <v>2016</v>
      </c>
      <c r="K46" s="26" t="n"/>
      <c r="L46" s="26" t="n">
        <v>1</v>
      </c>
      <c r="M46" s="26" t="n"/>
      <c r="N46" s="26" t="n"/>
      <c r="O46" s="26" t="n"/>
      <c r="P46" s="26" t="n"/>
    </row>
    <row r="47" ht="13" customHeight="1">
      <c r="A47" s="1" t="n"/>
      <c r="B47" s="27" t="n">
        <v>2015</v>
      </c>
      <c r="C47" s="28" t="n"/>
      <c r="D47" s="28" t="n">
        <v>2</v>
      </c>
      <c r="E47" s="28" t="n"/>
      <c r="F47" s="28" t="n"/>
      <c r="G47" s="28" t="n"/>
      <c r="H47" s="28" t="n"/>
      <c r="I47" s="1" t="n"/>
      <c r="J47" s="27" t="n">
        <v>2015</v>
      </c>
      <c r="K47" s="28" t="n"/>
      <c r="L47" s="28" t="n"/>
      <c r="M47" s="28" t="n"/>
      <c r="N47" s="28" t="n"/>
      <c r="O47" s="28" t="n"/>
      <c r="P47" s="28" t="n"/>
    </row>
    <row r="48" ht="13" customHeight="1">
      <c r="A48" s="1" t="n"/>
      <c r="B48" s="27" t="n">
        <v>2014</v>
      </c>
      <c r="C48" s="28" t="n">
        <v>2</v>
      </c>
      <c r="D48" s="28" t="n">
        <v>1</v>
      </c>
      <c r="E48" s="28" t="n"/>
      <c r="F48" s="28" t="n"/>
      <c r="G48" s="28" t="n"/>
      <c r="H48" s="28" t="n"/>
      <c r="I48" s="1" t="n"/>
      <c r="J48" s="27" t="n">
        <v>2014</v>
      </c>
      <c r="K48" s="28" t="n"/>
      <c r="L48" s="28" t="n">
        <v>1</v>
      </c>
      <c r="M48" s="28" t="n"/>
      <c r="N48" s="28" t="n"/>
      <c r="O48" s="28" t="n"/>
      <c r="P48" s="28" t="n"/>
    </row>
    <row r="49" ht="13" customHeight="1">
      <c r="A49" s="1" t="n"/>
      <c r="B49" s="27" t="n">
        <v>2013</v>
      </c>
      <c r="C49" s="28" t="n">
        <v>1</v>
      </c>
      <c r="D49" s="28" t="n"/>
      <c r="E49" s="28" t="n">
        <v>4</v>
      </c>
      <c r="F49" s="28" t="n">
        <v>1</v>
      </c>
      <c r="G49" s="28" t="n">
        <v>1</v>
      </c>
      <c r="H49" s="28" t="n"/>
      <c r="I49" s="1" t="n"/>
      <c r="J49" s="27" t="n">
        <v>2013</v>
      </c>
      <c r="K49" s="28" t="n"/>
      <c r="L49" s="28" t="n"/>
      <c r="M49" s="28" t="n">
        <v>2</v>
      </c>
      <c r="N49" s="28" t="n">
        <v>1</v>
      </c>
      <c r="O49" s="28" t="n"/>
      <c r="P49" s="28" t="n"/>
    </row>
    <row r="50" ht="13" customHeight="1">
      <c r="A50" s="1" t="n"/>
      <c r="B50" s="27" t="n">
        <v>2012</v>
      </c>
      <c r="C50" s="28" t="n">
        <v>1</v>
      </c>
      <c r="D50" s="28" t="n">
        <v>2</v>
      </c>
      <c r="E50" s="28" t="n"/>
      <c r="F50" s="28" t="n"/>
      <c r="G50" s="28" t="n"/>
      <c r="H50" s="28" t="n"/>
      <c r="I50" s="1" t="n"/>
      <c r="J50" s="27" t="n">
        <v>2012</v>
      </c>
      <c r="K50" s="28" t="n"/>
      <c r="L50" s="28" t="n">
        <v>1</v>
      </c>
      <c r="M50" s="28" t="n">
        <v>1</v>
      </c>
      <c r="N50" s="28" t="n"/>
      <c r="O50" s="28" t="n"/>
      <c r="P50" s="28" t="n"/>
    </row>
    <row r="51" ht="13" customHeight="1">
      <c r="A51" s="1" t="n"/>
      <c r="B51" s="27" t="n">
        <v>2011</v>
      </c>
      <c r="C51" s="28" t="n"/>
      <c r="D51" s="28" t="n"/>
      <c r="E51" s="28" t="n"/>
      <c r="F51" s="28" t="n">
        <v>1</v>
      </c>
      <c r="G51" s="28" t="n"/>
      <c r="H51" s="28" t="n"/>
      <c r="I51" s="1" t="n"/>
      <c r="J51" s="27" t="n">
        <v>2011</v>
      </c>
      <c r="K51" s="28" t="n"/>
      <c r="L51" s="28" t="n"/>
      <c r="M51" s="28" t="n"/>
      <c r="N51" s="28" t="n">
        <v>2</v>
      </c>
      <c r="O51" s="28" t="n"/>
      <c r="P51" s="28" t="n"/>
    </row>
    <row r="52" ht="13" customHeight="1">
      <c r="A52" s="1" t="n"/>
      <c r="B52" s="29" t="n">
        <v>2010</v>
      </c>
      <c r="C52" s="30" t="n"/>
      <c r="D52" s="30" t="n"/>
      <c r="E52" s="30" t="n"/>
      <c r="F52" s="30" t="n"/>
      <c r="G52" s="30" t="n"/>
      <c r="H52" s="30" t="n"/>
      <c r="I52" s="1" t="n"/>
      <c r="J52" s="29" t="n">
        <v>2010</v>
      </c>
      <c r="K52" s="30" t="n"/>
      <c r="L52" s="30" t="n">
        <v>1</v>
      </c>
      <c r="M52" s="30" t="n"/>
      <c r="N52" s="30" t="n"/>
      <c r="O52" s="30" t="n"/>
      <c r="P52" s="30" t="n"/>
    </row>
    <row r="53" ht="13" customHeight="1">
      <c r="A53" s="1" t="n"/>
      <c r="B53" s="13" t="inlineStr">
        <is>
          <t>GTTL</t>
        </is>
      </c>
      <c r="C53" s="13" t="n">
        <v>21</v>
      </c>
      <c r="D53" s="13" t="n">
        <v>31</v>
      </c>
      <c r="E53" s="13" t="n">
        <v>8</v>
      </c>
      <c r="F53" s="13" t="n">
        <v>2</v>
      </c>
      <c r="G53" s="13" t="n">
        <v>1</v>
      </c>
      <c r="H53" s="13" t="n"/>
      <c r="I53" s="1" t="n"/>
      <c r="J53" s="13" t="inlineStr">
        <is>
          <t>GTTL</t>
        </is>
      </c>
      <c r="K53" s="13" t="n">
        <v>3</v>
      </c>
      <c r="L53" s="13" t="n">
        <v>35</v>
      </c>
      <c r="M53" s="13" t="n">
        <v>3</v>
      </c>
      <c r="N53" s="13" t="n">
        <v>3</v>
      </c>
      <c r="O53" s="13" t="n"/>
      <c r="P53" s="13" t="n"/>
    </row>
    <row r="54" ht="13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3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3" customHeight="1">
      <c r="A56" s="1" t="n"/>
      <c r="B56" s="31" t="inlineStr">
        <is>
          <t>CARGO CLASSIFICATION  (40'RH stock by Built Year, per depot)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3" customHeight="1">
      <c r="A57" s="1" t="n"/>
      <c r="B57" s="32" t="inlineStr">
        <is>
          <t>BKK27 DURIAN  (2021-2026)</t>
        </is>
      </c>
      <c r="C57" s="33" t="n"/>
      <c r="D57" s="33" t="n"/>
      <c r="E57" s="1" t="n"/>
      <c r="F57" s="32" t="inlineStr">
        <is>
          <t>BKK27 NON DURIAN  (≤ 2020)</t>
        </is>
      </c>
      <c r="G57" s="33" t="n"/>
      <c r="H57" s="33" t="n"/>
      <c r="I57" s="1" t="n"/>
      <c r="J57" s="32" t="inlineStr">
        <is>
          <t>LCH27 DURIAN  (2021-2026)</t>
        </is>
      </c>
      <c r="K57" s="33" t="n"/>
      <c r="L57" s="33" t="n"/>
      <c r="M57" s="1" t="n"/>
      <c r="N57" s="32" t="inlineStr">
        <is>
          <t>LCH27 NON DURIAN  (≤ 2020)</t>
        </is>
      </c>
      <c r="O57" s="33" t="n"/>
      <c r="P57" s="33" t="n"/>
    </row>
    <row r="58" ht="13" customHeight="1">
      <c r="A58" s="1" t="n"/>
      <c r="B58" s="34">
        <f>SUM(D36:D41)+SUM(F36:F41)+SUM(H36:H41)</f>
        <v/>
      </c>
      <c r="C58" s="33" t="n"/>
      <c r="D58" s="33" t="n"/>
      <c r="E58" s="1" t="n"/>
      <c r="F58" s="34">
        <f>SUM(D42:D52)+SUM(F42:F52)+SUM(H42:H52)</f>
        <v/>
      </c>
      <c r="G58" s="33" t="n"/>
      <c r="H58" s="33" t="n"/>
      <c r="I58" s="1" t="n"/>
      <c r="J58" s="35">
        <f>SUM(L36:L41)+SUM(N36:N41)+SUM(P36:P41)</f>
        <v/>
      </c>
      <c r="K58" s="33" t="n"/>
      <c r="L58" s="33" t="n"/>
      <c r="M58" s="1" t="n"/>
      <c r="N58" s="35">
        <f>SUM(L42:L52)+SUM(N42:N52)+SUM(P42:P52)</f>
        <v/>
      </c>
      <c r="O58" s="33" t="n"/>
      <c r="P58" s="33" t="n"/>
    </row>
    <row r="59" ht="13" customHeight="1">
      <c r="A59" s="1" t="n"/>
      <c r="B59" s="36" t="inlineStr">
        <is>
          <t>40'RH stock</t>
        </is>
      </c>
      <c r="C59" s="33" t="n"/>
      <c r="D59" s="33" t="n"/>
      <c r="E59" s="1" t="n"/>
      <c r="F59" s="36" t="inlineStr">
        <is>
          <t>40'RH stock</t>
        </is>
      </c>
      <c r="G59" s="33" t="n"/>
      <c r="H59" s="33" t="n"/>
      <c r="I59" s="1" t="n"/>
      <c r="J59" s="36" t="inlineStr">
        <is>
          <t>40'RH stock</t>
        </is>
      </c>
      <c r="K59" s="33" t="n"/>
      <c r="L59" s="33" t="n"/>
      <c r="M59" s="1" t="n"/>
      <c r="N59" s="36" t="inlineStr">
        <is>
          <t>40'RH stock</t>
        </is>
      </c>
      <c r="O59" s="33" t="n"/>
      <c r="P59" s="33" t="n"/>
    </row>
  </sheetData>
  <mergeCells count="17">
    <mergeCell ref="E34:F34"/>
    <mergeCell ref="C34:D34"/>
    <mergeCell ref="J33:P33"/>
    <mergeCell ref="G34:H34"/>
    <mergeCell ref="K34:L34"/>
    <mergeCell ref="M34:N34"/>
    <mergeCell ref="O34:P34"/>
    <mergeCell ref="J34:J35"/>
    <mergeCell ref="A1:K1"/>
    <mergeCell ref="H20:K20"/>
    <mergeCell ref="H2:J2"/>
    <mergeCell ref="H21:H22"/>
    <mergeCell ref="B33:H33"/>
    <mergeCell ref="B20:E20"/>
    <mergeCell ref="B34:B35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33" t="n"/>
      <c r="D4" s="33" t="n"/>
      <c r="E4" s="1" t="n"/>
      <c r="F4" s="39" t="inlineStr">
        <is>
          <t>COMBINED 40'RH STOCK</t>
        </is>
      </c>
      <c r="G4" s="33" t="n"/>
      <c r="H4" s="33" t="n"/>
      <c r="I4" s="1" t="n"/>
      <c r="J4" s="39" t="inlineStr">
        <is>
          <t>COMBINED 40'RH BOOKING</t>
        </is>
      </c>
      <c r="K4" s="33" t="n"/>
      <c r="L4" s="33" t="n"/>
      <c r="M4" s="1" t="n"/>
      <c r="N4" s="39" t="inlineStr">
        <is>
          <t>COMBINED 40'RH BALANCE</t>
        </is>
      </c>
      <c r="O4" s="33" t="n"/>
      <c r="P4" s="33" t="n"/>
    </row>
    <row r="5" ht="13" customHeight="1">
      <c r="A5" s="1" t="n"/>
      <c r="B5" s="40">
        <f>MIN('TOTAL RH'!D12,'TOTAL RH'!J12)</f>
        <v/>
      </c>
      <c r="C5" s="33" t="n"/>
      <c r="D5" s="33" t="n"/>
      <c r="E5" s="1" t="n"/>
      <c r="F5" s="41">
        <f>'TOTAL RH'!O5</f>
        <v/>
      </c>
      <c r="G5" s="33" t="n"/>
      <c r="H5" s="33" t="n"/>
      <c r="I5" s="1" t="n"/>
      <c r="J5" s="41">
        <f>'TOTAL RH'!O10</f>
        <v/>
      </c>
      <c r="K5" s="33" t="n"/>
      <c r="L5" s="33" t="n"/>
      <c r="M5" s="1" t="n"/>
      <c r="N5" s="40">
        <f>'TOTAL RH'!O15</f>
        <v/>
      </c>
      <c r="O5" s="33" t="n"/>
      <c r="P5" s="33" t="n"/>
    </row>
    <row r="6" ht="13" customHeight="1">
      <c r="A6" s="1" t="n"/>
      <c r="B6" s="42">
        <f>"BKK27/LCH27 40'RH, worse "&amp;'TOTAL RH'!B12</f>
        <v/>
      </c>
      <c r="C6" s="33" t="n"/>
      <c r="D6" s="33" t="n"/>
      <c r="E6" s="1" t="n"/>
      <c r="F6" s="42" t="inlineStr">
        <is>
          <t>BKK27 + LCH27</t>
        </is>
      </c>
      <c r="G6" s="33" t="n"/>
      <c r="H6" s="33" t="n"/>
      <c r="I6" s="1" t="n"/>
      <c r="J6" s="42" t="inlineStr">
        <is>
          <t>pending + all weeks</t>
        </is>
      </c>
      <c r="K6" s="33" t="n"/>
      <c r="L6" s="33" t="n"/>
      <c r="M6" s="1" t="n"/>
      <c r="N6" s="42">
        <f>"pending + all weeks, both depots, "&amp;'TOTAL RH'!B12</f>
        <v/>
      </c>
      <c r="O6" s="33" t="n"/>
      <c r="P6" s="33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3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9">
        <f>'TOTAL RH'!B9</f>
        <v/>
      </c>
      <c r="C16" s="50">
        <f>'TOTAL RH'!C9</f>
        <v/>
      </c>
      <c r="D16" s="50">
        <f>'TOTAL RH'!D9</f>
        <v/>
      </c>
      <c r="E16" s="1" t="n"/>
      <c r="F16" s="1" t="n"/>
      <c r="G16" s="1" t="n"/>
      <c r="H16" s="49">
        <f>'TOTAL RH'!H9</f>
        <v/>
      </c>
      <c r="I16" s="50">
        <f>'TOTAL RH'!I9</f>
        <v/>
      </c>
      <c r="J16" s="50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1">
        <f>'TOTAL RH'!B10</f>
        <v/>
      </c>
      <c r="C17" s="52">
        <f>'TOTAL RH'!C10</f>
        <v/>
      </c>
      <c r="D17" s="63">
        <f>'TOTAL RH'!D10</f>
        <v/>
      </c>
      <c r="E17" s="1" t="n"/>
      <c r="F17" s="1" t="n"/>
      <c r="G17" s="1" t="n"/>
      <c r="H17" s="51">
        <f>'TOTAL RH'!H10</f>
        <v/>
      </c>
      <c r="I17" s="52">
        <f>'TOTAL RH'!I10</f>
        <v/>
      </c>
      <c r="J17" s="63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49">
        <f>'TOTAL RH'!B11</f>
        <v/>
      </c>
      <c r="C18" s="50">
        <f>'TOTAL RH'!C11</f>
        <v/>
      </c>
      <c r="D18" s="50">
        <f>'TOTAL RH'!D11</f>
        <v/>
      </c>
      <c r="E18" s="1" t="n"/>
      <c r="F18" s="1" t="n"/>
      <c r="G18" s="1" t="n"/>
      <c r="H18" s="49">
        <f>'TOTAL RH'!H11</f>
        <v/>
      </c>
      <c r="I18" s="50">
        <f>'TOTAL RH'!I11</f>
        <v/>
      </c>
      <c r="J18" s="50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51">
        <f>'TOTAL RH'!B12</f>
        <v/>
      </c>
      <c r="C19" s="52">
        <f>'TOTAL RH'!C12</f>
        <v/>
      </c>
      <c r="D19" s="63">
        <f>'TOTAL RH'!D12</f>
        <v/>
      </c>
      <c r="E19" s="1" t="n"/>
      <c r="F19" s="1" t="n"/>
      <c r="G19" s="1" t="n"/>
      <c r="H19" s="51">
        <f>'TOTAL RH'!H12</f>
        <v/>
      </c>
      <c r="I19" s="52">
        <f>'TOTAL RH'!I12</f>
        <v/>
      </c>
      <c r="J19" s="63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43" t="inlineStr">
        <is>
          <t>REMARKS  (AV = move code IED/IEP/IER, DMG = move code OER)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44">
        <f>'TOTAL RH'!B2</f>
        <v/>
      </c>
      <c r="C23" s="61" t="n"/>
      <c r="D23" s="62" t="n"/>
      <c r="E23" s="1" t="n"/>
      <c r="F23" s="1" t="n"/>
      <c r="G23" s="1" t="n"/>
      <c r="H23" s="45">
        <f>'TOTAL RH'!H2</f>
        <v/>
      </c>
      <c r="I23" s="61" t="n"/>
      <c r="J23" s="62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33" t="n"/>
      <c r="C24" s="46" t="inlineStr">
        <is>
          <t>20'RE</t>
        </is>
      </c>
      <c r="D24" s="46" t="inlineStr">
        <is>
          <t>40'RH</t>
        </is>
      </c>
      <c r="E24" s="1" t="n"/>
      <c r="F24" s="1" t="n"/>
      <c r="G24" s="1" t="n"/>
      <c r="H24" s="33" t="n"/>
      <c r="I24" s="46" t="inlineStr">
        <is>
          <t>20'RE</t>
        </is>
      </c>
      <c r="J24" s="46" t="inlineStr">
        <is>
          <t>40'RH</t>
        </is>
      </c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3" t="inlineStr">
        <is>
          <t>AV</t>
        </is>
      </c>
      <c r="C25" s="50">
        <f>'TOTAL RH'!C16</f>
        <v/>
      </c>
      <c r="D25" s="50">
        <f>'TOTAL RH'!D16</f>
        <v/>
      </c>
      <c r="E25" s="1" t="n"/>
      <c r="F25" s="1" t="n"/>
      <c r="G25" s="1" t="n"/>
      <c r="H25" s="33" t="inlineStr">
        <is>
          <t>AV</t>
        </is>
      </c>
      <c r="I25" s="50">
        <f>'TOTAL RH'!I16</f>
        <v/>
      </c>
      <c r="J25" s="50">
        <f>'TOTAL RH'!J16</f>
        <v/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3" t="inlineStr">
        <is>
          <t>DMG</t>
        </is>
      </c>
      <c r="C26" s="50">
        <f>'TOTAL RH'!C17</f>
        <v/>
      </c>
      <c r="D26" s="50">
        <f>'TOTAL RH'!D17</f>
        <v/>
      </c>
      <c r="E26" s="1" t="n"/>
      <c r="F26" s="1" t="n"/>
      <c r="G26" s="1" t="n"/>
      <c r="H26" s="33" t="inlineStr">
        <is>
          <t>DMG</t>
        </is>
      </c>
      <c r="I26" s="50">
        <f>'TOTAL RH'!I17</f>
        <v/>
      </c>
      <c r="J26" s="50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43" t="inlineStr">
        <is>
          <t>RF SEASONAL — build year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39" t="inlineStr">
        <is>
          <t>BKK27 2020-26 BUILT</t>
        </is>
      </c>
      <c r="C30" s="33" t="n"/>
      <c r="D30" s="33" t="n"/>
      <c r="E30" s="1" t="n"/>
      <c r="F30" s="39" t="inlineStr">
        <is>
          <t>LCH27 2020-26 BUILT</t>
        </is>
      </c>
      <c r="G30" s="33" t="n"/>
      <c r="H30" s="33" t="n"/>
      <c r="I30" s="1" t="n"/>
      <c r="J30" s="39" t="inlineStr">
        <is>
          <t>PEAK BUILD YEAR</t>
        </is>
      </c>
      <c r="K30" s="33" t="n"/>
      <c r="L30" s="33" t="n"/>
      <c r="M30" s="1" t="n"/>
      <c r="N30" s="1" t="n"/>
      <c r="O30" s="1" t="n"/>
      <c r="P30" s="1" t="n"/>
    </row>
    <row r="31" ht="13" customHeight="1">
      <c r="A31" s="1" t="n"/>
      <c r="B31" s="53">
        <f>SUM('TOTAL RH'!D36:D42)+SUM('TOTAL RH'!F36:F42)+SUM('TOTAL RH'!H36:H42)</f>
        <v/>
      </c>
      <c r="C31" s="33" t="n"/>
      <c r="D31" s="33" t="n"/>
      <c r="E31" s="1" t="n"/>
      <c r="F31" s="54">
        <f>SUM('TOTAL RH'!L36:L42)+SUM('TOTAL RH'!N36:N42)+SUM('TOTAL RH'!P36:P42)</f>
        <v/>
      </c>
      <c r="G31" s="33" t="n"/>
      <c r="H31" s="33" t="n"/>
      <c r="I31" s="1" t="n"/>
      <c r="J31" s="41">
        <f>"2021"</f>
        <v/>
      </c>
      <c r="K31" s="33" t="n"/>
      <c r="L31" s="33" t="n"/>
      <c r="M31" s="1" t="n"/>
      <c r="N31" s="1" t="n"/>
      <c r="O31" s="1" t="n"/>
      <c r="P31" s="1" t="n"/>
    </row>
    <row r="32" ht="13" customHeight="1">
      <c r="A32" s="1" t="n"/>
      <c r="B32" s="42" t="inlineStr">
        <is>
          <t>of 40'RH on hand</t>
        </is>
      </c>
      <c r="C32" s="33" t="n"/>
      <c r="D32" s="33" t="n"/>
      <c r="E32" s="1" t="n"/>
      <c r="F32" s="42" t="inlineStr">
        <is>
          <t>of 40'RH on hand</t>
        </is>
      </c>
      <c r="G32" s="33" t="n"/>
      <c r="H32" s="33" t="n"/>
      <c r="I32" s="1" t="n"/>
      <c r="J32" s="42" t="inlineStr">
        <is>
          <t>14 units across both depots</t>
        </is>
      </c>
      <c r="K32" s="33" t="n"/>
      <c r="L32" s="33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9" t="inlineStr">
        <is>
          <t>BKK27 DURIAN  (2021-2026)</t>
        </is>
      </c>
      <c r="C34" s="33" t="n"/>
      <c r="D34" s="33" t="n"/>
      <c r="E34" s="1" t="n"/>
      <c r="F34" s="39" t="inlineStr">
        <is>
          <t>BKK27 NON DURIAN  (≤ 2020)</t>
        </is>
      </c>
      <c r="G34" s="33" t="n"/>
      <c r="H34" s="33" t="n"/>
      <c r="I34" s="1" t="n"/>
      <c r="J34" s="39" t="inlineStr">
        <is>
          <t>LCH27 DURIAN  (2021-2026)</t>
        </is>
      </c>
      <c r="K34" s="33" t="n"/>
      <c r="L34" s="33" t="n"/>
      <c r="M34" s="1" t="n"/>
      <c r="N34" s="39" t="inlineStr">
        <is>
          <t>LCH27 NON DURIAN  (≤ 2020)</t>
        </is>
      </c>
      <c r="O34" s="33" t="n"/>
      <c r="P34" s="33" t="n"/>
    </row>
    <row r="35" ht="13" customHeight="1">
      <c r="A35" s="1" t="n"/>
      <c r="B35" s="53">
        <f>'TOTAL RH'!B58</f>
        <v/>
      </c>
      <c r="C35" s="33" t="n"/>
      <c r="D35" s="33" t="n"/>
      <c r="E35" s="1" t="n"/>
      <c r="F35" s="53">
        <f>'TOTAL RH'!F58</f>
        <v/>
      </c>
      <c r="G35" s="33" t="n"/>
      <c r="H35" s="33" t="n"/>
      <c r="I35" s="1" t="n"/>
      <c r="J35" s="54">
        <f>'TOTAL RH'!J58</f>
        <v/>
      </c>
      <c r="K35" s="33" t="n"/>
      <c r="L35" s="33" t="n"/>
      <c r="M35" s="1" t="n"/>
      <c r="N35" s="54">
        <f>'TOTAL RH'!N58</f>
        <v/>
      </c>
      <c r="O35" s="33" t="n"/>
      <c r="P35" s="33" t="n"/>
    </row>
    <row r="36" ht="13" customHeight="1">
      <c r="A36" s="1" t="n"/>
      <c r="B36" s="42" t="inlineStr">
        <is>
          <t>40'RH stock</t>
        </is>
      </c>
      <c r="C36" s="33" t="n"/>
      <c r="D36" s="33" t="n"/>
      <c r="E36" s="1" t="n"/>
      <c r="F36" s="42" t="inlineStr">
        <is>
          <t>40'RH stock</t>
        </is>
      </c>
      <c r="G36" s="33" t="n"/>
      <c r="H36" s="33" t="n"/>
      <c r="I36" s="1" t="n"/>
      <c r="J36" s="42" t="inlineStr">
        <is>
          <t>40'RH stock</t>
        </is>
      </c>
      <c r="K36" s="33" t="n"/>
      <c r="L36" s="33" t="n"/>
      <c r="M36" s="1" t="n"/>
      <c r="N36" s="42" t="inlineStr">
        <is>
          <t>40'RH stock</t>
        </is>
      </c>
      <c r="O36" s="33" t="n"/>
      <c r="P36" s="3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44" t="inlineStr">
        <is>
          <t>BKK27 current mix</t>
        </is>
      </c>
      <c r="C38" s="61" t="n"/>
      <c r="D38" s="62" t="n"/>
      <c r="E38" s="1" t="n"/>
      <c r="F38" s="1" t="n"/>
      <c r="G38" s="1" t="n"/>
      <c r="H38" s="45" t="inlineStr">
        <is>
          <t>LCH27 current mix</t>
        </is>
      </c>
      <c r="I38" s="61" t="n"/>
      <c r="J38" s="62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3" t="n"/>
      <c r="C39" s="46" t="inlineStr">
        <is>
          <t>22RE</t>
        </is>
      </c>
      <c r="D39" s="46" t="inlineStr">
        <is>
          <t>45RE</t>
        </is>
      </c>
      <c r="E39" s="1" t="n"/>
      <c r="F39" s="1" t="n"/>
      <c r="G39" s="1" t="n"/>
      <c r="H39" s="33" t="n"/>
      <c r="I39" s="46" t="inlineStr">
        <is>
          <t>22RE</t>
        </is>
      </c>
      <c r="J39" s="46" t="inlineStr">
        <is>
          <t>45RE</t>
        </is>
      </c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33" t="inlineStr">
        <is>
          <t>CARRIER</t>
        </is>
      </c>
      <c r="C40" s="50">
        <f>'TOTAL RH'!C53</f>
        <v/>
      </c>
      <c r="D40" s="50">
        <f>'TOTAL RH'!D53</f>
        <v/>
      </c>
      <c r="E40" s="1" t="n"/>
      <c r="F40" s="1" t="n"/>
      <c r="G40" s="1" t="n"/>
      <c r="H40" s="33" t="inlineStr">
        <is>
          <t>CARRIER</t>
        </is>
      </c>
      <c r="I40" s="50">
        <f>'TOTAL RH'!K53</f>
        <v/>
      </c>
      <c r="J40" s="50">
        <f>'TOTAL RH'!L53</f>
        <v/>
      </c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33" t="inlineStr">
        <is>
          <t>DAIKIN</t>
        </is>
      </c>
      <c r="C41" s="50">
        <f>'TOTAL RH'!E53</f>
        <v/>
      </c>
      <c r="D41" s="50">
        <f>'TOTAL RH'!F53</f>
        <v/>
      </c>
      <c r="E41" s="1" t="n"/>
      <c r="F41" s="1" t="n"/>
      <c r="G41" s="1" t="n"/>
      <c r="H41" s="33" t="inlineStr">
        <is>
          <t>DAIKIN</t>
        </is>
      </c>
      <c r="I41" s="50">
        <f>'TOTAL RH'!M53</f>
        <v/>
      </c>
      <c r="J41" s="50">
        <f>'TOTAL RH'!N53</f>
        <v/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33" t="inlineStr">
        <is>
          <t>THERMO KING</t>
        </is>
      </c>
      <c r="C42" s="50">
        <f>'TOTAL RH'!G53</f>
        <v/>
      </c>
      <c r="D42" s="50">
        <f>'TOTAL RH'!H53</f>
        <v/>
      </c>
      <c r="E42" s="1" t="n"/>
      <c r="F42" s="1" t="n"/>
      <c r="G42" s="1" t="n"/>
      <c r="H42" s="33" t="inlineStr">
        <is>
          <t>THERMO KING</t>
        </is>
      </c>
      <c r="I42" s="50">
        <f>'TOTAL RH'!O53</f>
        <v/>
      </c>
      <c r="J42" s="50">
        <f>'TOTAL RH'!P53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55" t="inlineStr">
        <is>
          <t>Full 2010-2026 Year x Brand x Size breakdown is on the TOTAL RH sheet.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</sheetData>
  <mergeCells count="7">
    <mergeCell ref="H38:J38"/>
    <mergeCell ref="B1:P2"/>
    <mergeCell ref="B23:D23"/>
    <mergeCell ref="H23:J23"/>
    <mergeCell ref="B9:D9"/>
    <mergeCell ref="H9:J9"/>
    <mergeCell ref="B38:D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2026-09-24T00:48:32Z</dcterms:created>
  <dcterms:modified xmlns:dcterms="http://purl.org/dc/terms/" xmlns:xsi="http://www.w3.org/2001/XMLSchema-instance" xsi:type="dcterms:W3CDTF">2026-09-24T00:48:48Z</dcterms:modified>
</cp:coreProperties>
</file>