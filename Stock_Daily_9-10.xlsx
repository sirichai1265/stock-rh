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RH\"/>
    </mc:Choice>
  </mc:AlternateContent>
  <xr:revisionPtr revIDLastSave="0" documentId="13_ncr:1_{69A9EC48-F6D5-4588-A4EF-2D064D0DB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" sheetId="1" r:id="rId1"/>
    <sheet name="BookingRaw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O34" i="3" s="1"/>
  <c r="E8" i="3" l="1"/>
  <c r="AG21" i="3"/>
  <c r="AH21" i="3"/>
  <c r="B4" i="1"/>
  <c r="W21" i="3"/>
  <c r="G8" i="3"/>
  <c r="K8" i="3"/>
  <c r="T8" i="3"/>
  <c r="K7" i="3"/>
  <c r="W8" i="3"/>
  <c r="D20" i="3"/>
  <c r="P7" i="3"/>
  <c r="Z8" i="3"/>
  <c r="AA33" i="3"/>
  <c r="S7" i="3"/>
  <c r="AD20" i="3"/>
  <c r="P34" i="3"/>
  <c r="AD8" i="3"/>
  <c r="Q34" i="3"/>
  <c r="V7" i="3"/>
  <c r="AG8" i="3"/>
  <c r="AG20" i="3"/>
  <c r="AA34" i="3"/>
  <c r="AI7" i="3"/>
  <c r="I21" i="3"/>
  <c r="D8" i="3"/>
  <c r="V21" i="3"/>
  <c r="B9" i="1"/>
  <c r="A1" i="3"/>
  <c r="H7" i="3"/>
  <c r="C20" i="3"/>
  <c r="T33" i="3"/>
  <c r="P20" i="3"/>
  <c r="AA8" i="3"/>
  <c r="T7" i="3"/>
  <c r="AE20" i="3"/>
  <c r="AH7" i="3"/>
  <c r="D21" i="3"/>
  <c r="AB34" i="3"/>
  <c r="E20" i="3"/>
  <c r="G21" i="3"/>
  <c r="AI21" i="3"/>
  <c r="W33" i="3"/>
  <c r="AC34" i="3"/>
  <c r="A2" i="3"/>
  <c r="U7" i="3"/>
  <c r="J8" i="3"/>
  <c r="AE8" i="3"/>
  <c r="K20" i="3"/>
  <c r="H21" i="3"/>
  <c r="AD34" i="3"/>
  <c r="AA7" i="3"/>
  <c r="J21" i="3"/>
  <c r="AB33" i="3"/>
  <c r="E7" i="3"/>
  <c r="AB7" i="3"/>
  <c r="N8" i="3"/>
  <c r="R20" i="3"/>
  <c r="Q21" i="3"/>
  <c r="AH33" i="3"/>
  <c r="F7" i="3"/>
  <c r="AD7" i="3"/>
  <c r="Q8" i="3"/>
  <c r="S20" i="3"/>
  <c r="T21" i="3"/>
  <c r="N34" i="3"/>
  <c r="D4" i="1"/>
  <c r="B5" i="1"/>
  <c r="D7" i="3"/>
  <c r="Q20" i="3"/>
  <c r="G7" i="3"/>
  <c r="AG7" i="3"/>
  <c r="R8" i="3"/>
  <c r="AA20" i="3"/>
  <c r="U21" i="3"/>
  <c r="AI34" i="3"/>
  <c r="V34" i="3"/>
  <c r="AG33" i="3"/>
  <c r="S33" i="3"/>
  <c r="AC21" i="3"/>
  <c r="P21" i="3"/>
  <c r="C21" i="3"/>
  <c r="J20" i="3"/>
  <c r="AF8" i="3"/>
  <c r="S8" i="3"/>
  <c r="F8" i="3"/>
  <c r="AC7" i="3"/>
  <c r="O7" i="3"/>
  <c r="AH34" i="3"/>
  <c r="U34" i="3"/>
  <c r="AF33" i="3"/>
  <c r="R33" i="3"/>
  <c r="AB21" i="3"/>
  <c r="O21" i="3"/>
  <c r="B21" i="3"/>
  <c r="W20" i="3"/>
  <c r="I20" i="3"/>
  <c r="AG34" i="3"/>
  <c r="T34" i="3"/>
  <c r="AE33" i="3"/>
  <c r="Q33" i="3"/>
  <c r="AA21" i="3"/>
  <c r="N21" i="3"/>
  <c r="V20" i="3"/>
  <c r="H20" i="3"/>
  <c r="AF34" i="3"/>
  <c r="S34" i="3"/>
  <c r="AD33" i="3"/>
  <c r="P33" i="3"/>
  <c r="Z21" i="3"/>
  <c r="AI20" i="3"/>
  <c r="U20" i="3"/>
  <c r="G20" i="3"/>
  <c r="AC8" i="3"/>
  <c r="P8" i="3"/>
  <c r="C8" i="3"/>
  <c r="J7" i="3"/>
  <c r="AE34" i="3"/>
  <c r="R34" i="3"/>
  <c r="AC33" i="3"/>
  <c r="O33" i="3"/>
  <c r="K21" i="3"/>
  <c r="AH20" i="3"/>
  <c r="T20" i="3"/>
  <c r="F20" i="3"/>
  <c r="AB8" i="3"/>
  <c r="O8" i="3"/>
  <c r="B8" i="3"/>
  <c r="W7" i="3"/>
  <c r="I7" i="3"/>
  <c r="Z34" i="3"/>
  <c r="V33" i="3"/>
  <c r="AF21" i="3"/>
  <c r="S21" i="3"/>
  <c r="F21" i="3"/>
  <c r="AC20" i="3"/>
  <c r="O20" i="3"/>
  <c r="AI8" i="3"/>
  <c r="V8" i="3"/>
  <c r="I8" i="3"/>
  <c r="AF7" i="3"/>
  <c r="R7" i="3"/>
  <c r="AI33" i="3"/>
  <c r="U33" i="3"/>
  <c r="AE21" i="3"/>
  <c r="R21" i="3"/>
  <c r="E21" i="3"/>
  <c r="AB20" i="3"/>
  <c r="AH8" i="3"/>
  <c r="U8" i="3"/>
  <c r="H8" i="3"/>
  <c r="AE7" i="3"/>
  <c r="Q7" i="3"/>
  <c r="C7" i="3"/>
  <c r="AF20" i="3"/>
  <c r="AD21" i="3"/>
  <c r="W34" i="3"/>
  <c r="T23" i="3" l="1"/>
  <c r="T22" i="3"/>
  <c r="N9" i="3"/>
  <c r="C4" i="1"/>
  <c r="A4" i="1"/>
  <c r="AG22" i="3"/>
  <c r="AG23" i="3" s="1"/>
  <c r="AC24" i="3"/>
  <c r="AF11" i="3"/>
  <c r="S11" i="3"/>
  <c r="AB37" i="3"/>
  <c r="AA37" i="3"/>
  <c r="N37" i="3"/>
  <c r="B11" i="3"/>
  <c r="AI11" i="3"/>
  <c r="AG37" i="3"/>
  <c r="T37" i="3"/>
  <c r="W37" i="3"/>
  <c r="V37" i="3"/>
  <c r="Q24" i="3"/>
  <c r="S37" i="3"/>
  <c r="B6" i="1"/>
  <c r="AG24" i="3"/>
  <c r="W11" i="3"/>
  <c r="D5" i="1"/>
  <c r="C5" i="1"/>
  <c r="AB24" i="3" s="1"/>
  <c r="AG11" i="3"/>
  <c r="K11" i="3"/>
  <c r="J24" i="3"/>
  <c r="A5" i="1"/>
  <c r="N11" i="3"/>
  <c r="AF37" i="3"/>
  <c r="U24" i="3"/>
  <c r="G11" i="3" l="1"/>
  <c r="I11" i="3"/>
  <c r="C11" i="3"/>
  <c r="C24" i="3"/>
  <c r="N10" i="3"/>
  <c r="O9" i="3"/>
  <c r="O10" i="3" s="1"/>
  <c r="C9" i="3"/>
  <c r="C10" i="3" s="1"/>
  <c r="S22" i="3"/>
  <c r="S23" i="3" s="1"/>
  <c r="Q22" i="3"/>
  <c r="Q23" i="3" s="1"/>
  <c r="AB22" i="3"/>
  <c r="AB23" i="3" s="1"/>
  <c r="AB25" i="3" s="1"/>
  <c r="Z9" i="3"/>
  <c r="Z35" i="3"/>
  <c r="AG9" i="3"/>
  <c r="AG10" i="3" s="1"/>
  <c r="B10" i="3"/>
  <c r="AA9" i="3"/>
  <c r="AA10" i="3" s="1"/>
  <c r="F22" i="3"/>
  <c r="F23" i="3" s="1"/>
  <c r="D22" i="3"/>
  <c r="D23" i="3" s="1"/>
  <c r="O22" i="3"/>
  <c r="O23" i="3" s="1"/>
  <c r="AA35" i="3"/>
  <c r="AA36" i="3" s="1"/>
  <c r="W22" i="3"/>
  <c r="W23" i="3" s="1"/>
  <c r="J9" i="3"/>
  <c r="J10" i="3" s="1"/>
  <c r="B9" i="3"/>
  <c r="AI9" i="3"/>
  <c r="AI10" i="3" s="1"/>
  <c r="AI12" i="3" s="1"/>
  <c r="AH35" i="3"/>
  <c r="AH36" i="3" s="1"/>
  <c r="B22" i="3"/>
  <c r="N35" i="3"/>
  <c r="AC35" i="3"/>
  <c r="AC36" i="3" s="1"/>
  <c r="V22" i="3"/>
  <c r="V23" i="3" s="1"/>
  <c r="AF22" i="3"/>
  <c r="AF23" i="3" s="1"/>
  <c r="S35" i="3"/>
  <c r="S36" i="3" s="1"/>
  <c r="T9" i="3"/>
  <c r="T10" i="3" s="1"/>
  <c r="W9" i="3"/>
  <c r="W10" i="3" s="1"/>
  <c r="V9" i="3"/>
  <c r="V10" i="3" s="1"/>
  <c r="U35" i="3"/>
  <c r="U36" i="3" s="1"/>
  <c r="AE9" i="3"/>
  <c r="AE10" i="3" s="1"/>
  <c r="AH22" i="3"/>
  <c r="AH23" i="3" s="1"/>
  <c r="I9" i="3"/>
  <c r="I10" i="3" s="1"/>
  <c r="I12" i="3" s="1"/>
  <c r="AC22" i="3"/>
  <c r="AC23" i="3" s="1"/>
  <c r="R9" i="3"/>
  <c r="R10" i="3" s="1"/>
  <c r="U22" i="3"/>
  <c r="U23" i="3" s="1"/>
  <c r="U25" i="3" s="1"/>
  <c r="Z22" i="3"/>
  <c r="W35" i="3"/>
  <c r="W36" i="3" s="1"/>
  <c r="W38" i="3" s="1"/>
  <c r="P22" i="3"/>
  <c r="P23" i="3" s="1"/>
  <c r="E9" i="3"/>
  <c r="E10" i="3" s="1"/>
  <c r="H22" i="3"/>
  <c r="H23" i="3" s="1"/>
  <c r="P35" i="3"/>
  <c r="P36" i="3" s="1"/>
  <c r="N23" i="3"/>
  <c r="V35" i="3"/>
  <c r="V36" i="3" s="1"/>
  <c r="AG35" i="3"/>
  <c r="AG36" i="3" s="1"/>
  <c r="AG38" i="3" s="1"/>
  <c r="N22" i="3"/>
  <c r="U9" i="3"/>
  <c r="U10" i="3" s="1"/>
  <c r="K22" i="3"/>
  <c r="K23" i="3" s="1"/>
  <c r="Z23" i="3"/>
  <c r="AE22" i="3"/>
  <c r="AE23" i="3" s="1"/>
  <c r="C22" i="3"/>
  <c r="C23" i="3" s="1"/>
  <c r="AF35" i="3"/>
  <c r="AF36" i="3" s="1"/>
  <c r="AF38" i="3" s="1"/>
  <c r="K9" i="3"/>
  <c r="K10" i="3" s="1"/>
  <c r="K12" i="3" s="1"/>
  <c r="D9" i="3"/>
  <c r="D10" i="3" s="1"/>
  <c r="T35" i="3"/>
  <c r="T36" i="3" s="1"/>
  <c r="T38" i="3" s="1"/>
  <c r="AE35" i="3"/>
  <c r="AE36" i="3" s="1"/>
  <c r="Q9" i="3"/>
  <c r="Q10" i="3" s="1"/>
  <c r="N36" i="3"/>
  <c r="R22" i="3"/>
  <c r="R23" i="3" s="1"/>
  <c r="AF9" i="3"/>
  <c r="AF10" i="3" s="1"/>
  <c r="AF12" i="3" s="1"/>
  <c r="AB35" i="3"/>
  <c r="AB36" i="3" s="1"/>
  <c r="AA22" i="3"/>
  <c r="AA23" i="3" s="1"/>
  <c r="AB9" i="3"/>
  <c r="AB10" i="3" s="1"/>
  <c r="B23" i="3"/>
  <c r="P9" i="3"/>
  <c r="P10" i="3" s="1"/>
  <c r="J22" i="3"/>
  <c r="J23" i="3" s="1"/>
  <c r="J25" i="3" s="1"/>
  <c r="Q35" i="3"/>
  <c r="Q36" i="3" s="1"/>
  <c r="Z36" i="3"/>
  <c r="E22" i="3"/>
  <c r="E23" i="3" s="1"/>
  <c r="S9" i="3"/>
  <c r="S10" i="3" s="1"/>
  <c r="O35" i="3"/>
  <c r="O36" i="3" s="1"/>
  <c r="AD35" i="3"/>
  <c r="AD36" i="3" s="1"/>
  <c r="G22" i="3"/>
  <c r="G23" i="3" s="1"/>
  <c r="Z10" i="3"/>
  <c r="AI35" i="3"/>
  <c r="AI36" i="3" s="1"/>
  <c r="F9" i="3"/>
  <c r="F10" i="3" s="1"/>
  <c r="AI22" i="3"/>
  <c r="AI23" i="3" s="1"/>
  <c r="AD22" i="3"/>
  <c r="AD23" i="3" s="1"/>
  <c r="I22" i="3"/>
  <c r="I23" i="3" s="1"/>
  <c r="AD11" i="3"/>
  <c r="V11" i="3"/>
  <c r="O37" i="3"/>
  <c r="P24" i="3"/>
  <c r="P25" i="3" s="1"/>
  <c r="H9" i="3"/>
  <c r="H10" i="3" s="1"/>
  <c r="S12" i="3"/>
  <c r="AG12" i="3"/>
  <c r="V38" i="3"/>
  <c r="AB38" i="3"/>
  <c r="G24" i="3"/>
  <c r="G25" i="3" s="1"/>
  <c r="G27" i="3" s="1"/>
  <c r="J11" i="3"/>
  <c r="F24" i="3"/>
  <c r="N24" i="3"/>
  <c r="R37" i="3"/>
  <c r="AC9" i="3"/>
  <c r="AC10" i="3" s="1"/>
  <c r="Q11" i="3"/>
  <c r="Q12" i="3" s="1"/>
  <c r="H24" i="3"/>
  <c r="AE11" i="3"/>
  <c r="AH37" i="3"/>
  <c r="AH38" i="3" s="1"/>
  <c r="AA24" i="3"/>
  <c r="AE37" i="3"/>
  <c r="AD9" i="3"/>
  <c r="AD10" i="3" s="1"/>
  <c r="Y33" i="3"/>
  <c r="Y8" i="3"/>
  <c r="A20" i="3"/>
  <c r="Y35" i="3"/>
  <c r="A9" i="3"/>
  <c r="M7" i="3"/>
  <c r="A8" i="3"/>
  <c r="Y20" i="3"/>
  <c r="A7" i="3"/>
  <c r="A21" i="3"/>
  <c r="Y22" i="3"/>
  <c r="M21" i="3"/>
  <c r="M22" i="3"/>
  <c r="Y7" i="3"/>
  <c r="M8" i="3"/>
  <c r="M33" i="3"/>
  <c r="Y21" i="3"/>
  <c r="A22" i="3"/>
  <c r="M20" i="3"/>
  <c r="M35" i="3"/>
  <c r="M34" i="3"/>
  <c r="Y9" i="3"/>
  <c r="M9" i="3"/>
  <c r="Y34" i="3"/>
  <c r="AD24" i="3"/>
  <c r="AD25" i="3" s="1"/>
  <c r="V24" i="3"/>
  <c r="V25" i="3" s="1"/>
  <c r="T24" i="3"/>
  <c r="T25" i="3" s="1"/>
  <c r="Z37" i="3"/>
  <c r="P37" i="3"/>
  <c r="AH9" i="3"/>
  <c r="AH10" i="3" s="1"/>
  <c r="W12" i="3"/>
  <c r="R11" i="3"/>
  <c r="R12" i="3" s="1"/>
  <c r="T11" i="3"/>
  <c r="T12" i="3" s="1"/>
  <c r="E24" i="3"/>
  <c r="O11" i="3"/>
  <c r="O12" i="3" s="1"/>
  <c r="B24" i="3"/>
  <c r="G9" i="3"/>
  <c r="G10" i="3" s="1"/>
  <c r="AG25" i="3"/>
  <c r="AC37" i="3"/>
  <c r="E11" i="3"/>
  <c r="E12" i="3" s="1"/>
  <c r="AI24" i="3"/>
  <c r="R24" i="3"/>
  <c r="R25" i="3" s="1"/>
  <c r="AB11" i="3"/>
  <c r="AB12" i="3" s="1"/>
  <c r="O24" i="3"/>
  <c r="R35" i="3"/>
  <c r="R36" i="3" s="1"/>
  <c r="AA38" i="3"/>
  <c r="AA11" i="3"/>
  <c r="AA12" i="3" s="1"/>
  <c r="AE24" i="3"/>
  <c r="AE25" i="3" s="1"/>
  <c r="K24" i="3"/>
  <c r="Q25" i="3"/>
  <c r="F12" i="3"/>
  <c r="S38" i="3"/>
  <c r="AC25" i="3"/>
  <c r="A24" i="3"/>
  <c r="M24" i="3"/>
  <c r="Y24" i="3"/>
  <c r="M37" i="3"/>
  <c r="Y11" i="3"/>
  <c r="A11" i="3"/>
  <c r="M11" i="3"/>
  <c r="Y37" i="3"/>
  <c r="Z26" i="3"/>
  <c r="AC13" i="3"/>
  <c r="P13" i="3"/>
  <c r="B13" i="3"/>
  <c r="AI39" i="3"/>
  <c r="J26" i="3"/>
  <c r="AH39" i="3"/>
  <c r="U39" i="3"/>
  <c r="I26" i="3"/>
  <c r="U26" i="3"/>
  <c r="U27" i="3" s="1"/>
  <c r="H26" i="3"/>
  <c r="AF39" i="3"/>
  <c r="AF40" i="3" s="1"/>
  <c r="P26" i="3"/>
  <c r="P27" i="3" s="1"/>
  <c r="C26" i="3"/>
  <c r="AF13" i="3"/>
  <c r="AF14" i="3" s="1"/>
  <c r="AB26" i="3"/>
  <c r="O26" i="3"/>
  <c r="E13" i="3"/>
  <c r="P39" i="3"/>
  <c r="H13" i="3"/>
  <c r="G26" i="3"/>
  <c r="AA26" i="3"/>
  <c r="R26" i="3"/>
  <c r="AG13" i="3"/>
  <c r="AG14" i="3" s="1"/>
  <c r="A6" i="1"/>
  <c r="AD13" i="3"/>
  <c r="AD26" i="3"/>
  <c r="AD27" i="3" s="1"/>
  <c r="AI13" i="3"/>
  <c r="AI14" i="3" s="1"/>
  <c r="D6" i="1"/>
  <c r="F26" i="3"/>
  <c r="T26" i="3"/>
  <c r="T27" i="3" s="1"/>
  <c r="B7" i="1"/>
  <c r="Z39" i="3"/>
  <c r="R39" i="3"/>
  <c r="C6" i="1"/>
  <c r="C13" i="3" s="1"/>
  <c r="Z12" i="3"/>
  <c r="Z38" i="3"/>
  <c r="Z25" i="3"/>
  <c r="N12" i="3"/>
  <c r="N25" i="3"/>
  <c r="B25" i="3"/>
  <c r="B12" i="3"/>
  <c r="N38" i="3"/>
  <c r="D11" i="3"/>
  <c r="D12" i="3" s="1"/>
  <c r="H11" i="3"/>
  <c r="S24" i="3"/>
  <c r="S25" i="3" s="1"/>
  <c r="P11" i="3"/>
  <c r="Q37" i="3"/>
  <c r="E25" i="3"/>
  <c r="W24" i="3"/>
  <c r="W25" i="3" s="1"/>
  <c r="D24" i="3"/>
  <c r="D25" i="3" s="1"/>
  <c r="Z11" i="3"/>
  <c r="U11" i="3"/>
  <c r="U12" i="3" s="1"/>
  <c r="AF24" i="3"/>
  <c r="AF25" i="3" s="1"/>
  <c r="AC11" i="3"/>
  <c r="AC12" i="3" s="1"/>
  <c r="AC14" i="3" s="1"/>
  <c r="AD37" i="3"/>
  <c r="AD38" i="3" s="1"/>
  <c r="O25" i="3"/>
  <c r="AA25" i="3"/>
  <c r="AI37" i="3"/>
  <c r="AI38" i="3" s="1"/>
  <c r="AH24" i="3"/>
  <c r="AH25" i="3" s="1"/>
  <c r="I24" i="3"/>
  <c r="AH11" i="3"/>
  <c r="U37" i="3"/>
  <c r="U38" i="3" s="1"/>
  <c r="Z24" i="3"/>
  <c r="F11" i="3"/>
  <c r="P40" i="3" l="1"/>
  <c r="AI25" i="3"/>
  <c r="H25" i="3"/>
  <c r="H27" i="3" s="1"/>
  <c r="R38" i="3"/>
  <c r="R40" i="3" s="1"/>
  <c r="J12" i="3"/>
  <c r="AC39" i="3"/>
  <c r="AC40" i="3" s="1"/>
  <c r="AE26" i="3"/>
  <c r="AE27" i="3" s="1"/>
  <c r="N26" i="3"/>
  <c r="AC26" i="3"/>
  <c r="N13" i="3"/>
  <c r="U13" i="3"/>
  <c r="U14" i="3" s="1"/>
  <c r="Q39" i="3"/>
  <c r="S39" i="3"/>
  <c r="AA13" i="3"/>
  <c r="AA14" i="3" s="1"/>
  <c r="C12" i="3"/>
  <c r="C14" i="3" s="1"/>
  <c r="J27" i="3"/>
  <c r="AH12" i="3"/>
  <c r="AD39" i="3"/>
  <c r="AF26" i="3"/>
  <c r="AF27" i="3" s="1"/>
  <c r="R13" i="3"/>
  <c r="R14" i="3" s="1"/>
  <c r="K13" i="3"/>
  <c r="K14" i="3" s="1"/>
  <c r="V39" i="3"/>
  <c r="V40" i="3" s="1"/>
  <c r="AE12" i="3"/>
  <c r="F27" i="3"/>
  <c r="K25" i="3"/>
  <c r="F25" i="3"/>
  <c r="C25" i="3"/>
  <c r="Q38" i="3"/>
  <c r="AC38" i="3"/>
  <c r="C27" i="3"/>
  <c r="U40" i="3"/>
  <c r="AI40" i="3"/>
  <c r="P12" i="3"/>
  <c r="P14" i="3" s="1"/>
  <c r="Q13" i="3"/>
  <c r="Q14" i="3" s="1"/>
  <c r="AE39" i="3"/>
  <c r="N39" i="3"/>
  <c r="T39" i="3"/>
  <c r="T40" i="3" s="1"/>
  <c r="O13" i="3"/>
  <c r="P38" i="3"/>
  <c r="O38" i="3"/>
  <c r="AB27" i="3"/>
  <c r="V13" i="3"/>
  <c r="V14" i="3" s="1"/>
  <c r="E26" i="3"/>
  <c r="E27" i="3" s="1"/>
  <c r="AA39" i="3"/>
  <c r="AA40" i="3" s="1"/>
  <c r="AG39" i="3"/>
  <c r="AG40" i="3" s="1"/>
  <c r="W39" i="3"/>
  <c r="W40" i="3" s="1"/>
  <c r="V12" i="3"/>
  <c r="G12" i="3"/>
  <c r="I25" i="3"/>
  <c r="I27" i="3" s="1"/>
  <c r="H12" i="3"/>
  <c r="Q26" i="3"/>
  <c r="G13" i="3"/>
  <c r="G14" i="3" s="1"/>
  <c r="AG26" i="3"/>
  <c r="AG27" i="3" s="1"/>
  <c r="F13" i="3"/>
  <c r="F14" i="3" s="1"/>
  <c r="Z13" i="3"/>
  <c r="AD12" i="3"/>
  <c r="AD14" i="3" s="1"/>
  <c r="AE38" i="3"/>
  <c r="Y39" i="3"/>
  <c r="M26" i="3"/>
  <c r="Y26" i="3"/>
  <c r="M13" i="3"/>
  <c r="Y13" i="3"/>
  <c r="M39" i="3"/>
  <c r="A13" i="3"/>
  <c r="A26" i="3"/>
  <c r="AC27" i="3"/>
  <c r="Q27" i="3"/>
  <c r="R27" i="3"/>
  <c r="S40" i="3"/>
  <c r="AA27" i="3"/>
  <c r="N40" i="3"/>
  <c r="B27" i="3"/>
  <c r="Z40" i="3"/>
  <c r="N27" i="3"/>
  <c r="Z14" i="3"/>
  <c r="B14" i="3"/>
  <c r="Z27" i="3"/>
  <c r="N14" i="3"/>
  <c r="D26" i="3"/>
  <c r="D27" i="3" s="1"/>
  <c r="I13" i="3"/>
  <c r="I14" i="3" s="1"/>
  <c r="S13" i="3"/>
  <c r="S14" i="3" s="1"/>
  <c r="AH26" i="3"/>
  <c r="AH27" i="3" s="1"/>
  <c r="W26" i="3"/>
  <c r="W27" i="3" s="1"/>
  <c r="AH40" i="3"/>
  <c r="E14" i="3"/>
  <c r="D7" i="1"/>
  <c r="C7" i="1"/>
  <c r="Q41" i="3" s="1"/>
  <c r="A7" i="1"/>
  <c r="O27" i="3"/>
  <c r="J13" i="3"/>
  <c r="J14" i="3" s="1"/>
  <c r="V26" i="3"/>
  <c r="V27" i="3" s="1"/>
  <c r="H14" i="3"/>
  <c r="AD40" i="3"/>
  <c r="O14" i="3"/>
  <c r="T13" i="3"/>
  <c r="T14" i="3" s="1"/>
  <c r="D13" i="3"/>
  <c r="D14" i="3" s="1"/>
  <c r="AE13" i="3"/>
  <c r="AE14" i="3" s="1"/>
  <c r="O39" i="3"/>
  <c r="O40" i="3" s="1"/>
  <c r="AB13" i="3"/>
  <c r="AB14" i="3" s="1"/>
  <c r="S26" i="3"/>
  <c r="S27" i="3" s="1"/>
  <c r="W13" i="3"/>
  <c r="W14" i="3" s="1"/>
  <c r="AH13" i="3"/>
  <c r="B26" i="3"/>
  <c r="AB39" i="3"/>
  <c r="AB40" i="3" s="1"/>
  <c r="AI26" i="3"/>
  <c r="AI27" i="3" s="1"/>
  <c r="K26" i="3"/>
  <c r="K27" i="3" s="1"/>
  <c r="Q40" i="3" l="1"/>
  <c r="AA15" i="3"/>
  <c r="AA16" i="3" s="1"/>
  <c r="N41" i="3"/>
  <c r="N28" i="3"/>
  <c r="AA41" i="3"/>
  <c r="AA42" i="3" s="1"/>
  <c r="AH14" i="3"/>
  <c r="E15" i="3"/>
  <c r="I15" i="3"/>
  <c r="Q15" i="3"/>
  <c r="Q16" i="3" s="1"/>
  <c r="AG15" i="3"/>
  <c r="AG16" i="3" s="1"/>
  <c r="W15" i="3"/>
  <c r="W16" i="3" s="1"/>
  <c r="P28" i="3"/>
  <c r="P29" i="3" s="1"/>
  <c r="D28" i="3"/>
  <c r="D29" i="3" s="1"/>
  <c r="G28" i="3"/>
  <c r="G29" i="3" s="1"/>
  <c r="AI41" i="3"/>
  <c r="AI42" i="3" s="1"/>
  <c r="AI28" i="3"/>
  <c r="AI29" i="3" s="1"/>
  <c r="W41" i="3"/>
  <c r="W42" i="3" s="1"/>
  <c r="O15" i="3"/>
  <c r="T28" i="3"/>
  <c r="T29" i="3" s="1"/>
  <c r="Q42" i="3"/>
  <c r="B28" i="3"/>
  <c r="AC15" i="3"/>
  <c r="AC16" i="3" s="1"/>
  <c r="AG28" i="3"/>
  <c r="AG29" i="3" s="1"/>
  <c r="AE40" i="3"/>
  <c r="T15" i="3"/>
  <c r="T16" i="3" s="1"/>
  <c r="U41" i="3"/>
  <c r="U42" i="3" s="1"/>
  <c r="I28" i="3"/>
  <c r="I29" i="3" s="1"/>
  <c r="G15" i="3"/>
  <c r="G16" i="3" s="1"/>
  <c r="Z28" i="3"/>
  <c r="Z15" i="3"/>
  <c r="O16" i="3"/>
  <c r="AA28" i="3"/>
  <c r="AA29" i="3" s="1"/>
  <c r="AH41" i="3"/>
  <c r="V28" i="3"/>
  <c r="V29" i="3" s="1"/>
  <c r="AD28" i="3"/>
  <c r="AD29" i="3" s="1"/>
  <c r="AB28" i="3"/>
  <c r="AB29" i="3" s="1"/>
  <c r="B15" i="3"/>
  <c r="Z41" i="3"/>
  <c r="V15" i="3"/>
  <c r="V16" i="3" s="1"/>
  <c r="P41" i="3"/>
  <c r="P42" i="3" s="1"/>
  <c r="R41" i="3"/>
  <c r="R42" i="3" s="1"/>
  <c r="I16" i="3"/>
  <c r="R15" i="3"/>
  <c r="R16" i="3" s="1"/>
  <c r="Q28" i="3"/>
  <c r="AB15" i="3"/>
  <c r="AB16" i="3" s="1"/>
  <c r="H15" i="3"/>
  <c r="H16" i="3" s="1"/>
  <c r="F28" i="3"/>
  <c r="F29" i="3" s="1"/>
  <c r="K15" i="3"/>
  <c r="K16" i="3" s="1"/>
  <c r="J28" i="3"/>
  <c r="J29" i="3" s="1"/>
  <c r="AE15" i="3"/>
  <c r="AE16" i="3" s="1"/>
  <c r="AD15" i="3"/>
  <c r="AD16" i="3" s="1"/>
  <c r="K28" i="3"/>
  <c r="K29" i="3" s="1"/>
  <c r="U15" i="3"/>
  <c r="U16" i="3" s="1"/>
  <c r="S28" i="3"/>
  <c r="S29" i="3" s="1"/>
  <c r="H28" i="3"/>
  <c r="H29" i="3" s="1"/>
  <c r="E16" i="3"/>
  <c r="Q29" i="3"/>
  <c r="N15" i="3"/>
  <c r="S15" i="3"/>
  <c r="S16" i="3" s="1"/>
  <c r="C28" i="3"/>
  <c r="C29" i="3" s="1"/>
  <c r="AG41" i="3"/>
  <c r="AG42" i="3" s="1"/>
  <c r="E28" i="3"/>
  <c r="E29" i="3" s="1"/>
  <c r="O41" i="3"/>
  <c r="O42" i="3" s="1"/>
  <c r="AH28" i="3"/>
  <c r="AH29" i="3" s="1"/>
  <c r="AH42" i="3"/>
  <c r="O28" i="3"/>
  <c r="O29" i="3" s="1"/>
  <c r="W28" i="3"/>
  <c r="W29" i="3" s="1"/>
  <c r="D15" i="3"/>
  <c r="D16" i="3" s="1"/>
  <c r="C15" i="3"/>
  <c r="C16" i="3" s="1"/>
  <c r="R28" i="3"/>
  <c r="R29" i="3" s="1"/>
  <c r="AB41" i="3"/>
  <c r="AB42" i="3" s="1"/>
  <c r="M15" i="3"/>
  <c r="Y15" i="3"/>
  <c r="M41" i="3"/>
  <c r="M28" i="3"/>
  <c r="Y28" i="3"/>
  <c r="A28" i="3"/>
  <c r="Y41" i="3"/>
  <c r="A15" i="3"/>
  <c r="N29" i="3"/>
  <c r="B16" i="3"/>
  <c r="Z29" i="3"/>
  <c r="N16" i="3"/>
  <c r="Z42" i="3"/>
  <c r="B29" i="3"/>
  <c r="Z16" i="3"/>
  <c r="N42" i="3"/>
  <c r="AI15" i="3"/>
  <c r="AI16" i="3" s="1"/>
  <c r="AC41" i="3"/>
  <c r="AC42" i="3" s="1"/>
  <c r="AE41" i="3"/>
  <c r="AE42" i="3" s="1"/>
  <c r="S41" i="3"/>
  <c r="S42" i="3" s="1"/>
  <c r="F15" i="3"/>
  <c r="F16" i="3" s="1"/>
  <c r="AC28" i="3"/>
  <c r="AC29" i="3" s="1"/>
  <c r="T41" i="3"/>
  <c r="T42" i="3" s="1"/>
  <c r="AH15" i="3"/>
  <c r="AH16" i="3" s="1"/>
  <c r="AF28" i="3"/>
  <c r="AF29" i="3" s="1"/>
  <c r="U28" i="3"/>
  <c r="U29" i="3" s="1"/>
  <c r="V41" i="3"/>
  <c r="V42" i="3" s="1"/>
  <c r="AF41" i="3"/>
  <c r="AF42" i="3" s="1"/>
  <c r="AF15" i="3"/>
  <c r="AF16" i="3" s="1"/>
  <c r="P15" i="3"/>
  <c r="P16" i="3" s="1"/>
  <c r="AE28" i="3"/>
  <c r="AE29" i="3" s="1"/>
  <c r="J15" i="3"/>
  <c r="J16" i="3" s="1"/>
  <c r="AD41" i="3"/>
  <c r="AD42" i="3" s="1"/>
</calcChain>
</file>

<file path=xl/sharedStrings.xml><?xml version="1.0" encoding="utf-8"?>
<sst xmlns="http://schemas.openxmlformats.org/spreadsheetml/2006/main" count="226" uniqueCount="30">
  <si>
    <t>Report date</t>
  </si>
  <si>
    <t>WK#</t>
  </si>
  <si>
    <t>Monday</t>
  </si>
  <si>
    <t>Saturday</t>
  </si>
  <si>
    <t>ISO week</t>
  </si>
  <si>
    <t>Rest of WK1 start</t>
  </si>
  <si>
    <t>Location</t>
  </si>
  <si>
    <t>Date</t>
  </si>
  <si>
    <t>20'GP</t>
  </si>
  <si>
    <t>40'GP</t>
  </si>
  <si>
    <t>40'HC</t>
  </si>
  <si>
    <t>20'RE</t>
  </si>
  <si>
    <t>40'RH</t>
  </si>
  <si>
    <t>20'OT</t>
  </si>
  <si>
    <t>40'OT</t>
  </si>
  <si>
    <t>20'FR</t>
  </si>
  <si>
    <t>40'FR</t>
  </si>
  <si>
    <t>LCH27</t>
  </si>
  <si>
    <t>BKK27</t>
  </si>
  <si>
    <t>BKK</t>
  </si>
  <si>
    <t>LCH</t>
  </si>
  <si>
    <t>BKK25</t>
  </si>
  <si>
    <t>BKK01+BKK04</t>
  </si>
  <si>
    <t>WK</t>
  </si>
  <si>
    <t>Stock empty in yard</t>
  </si>
  <si>
    <t>Booking Pending pick up</t>
  </si>
  <si>
    <t>BKK02</t>
  </si>
  <si>
    <t>LCH28</t>
  </si>
  <si>
    <t>LCH55</t>
  </si>
  <si>
    <t>LCHY5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</si>
</sst>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13" x14ac:knownFonts="1">
    <font>
      <sz val="11"/>
      <color theme="1"/>
      <name val="Tahoma"/>
      <family val="2"/>
      <scheme val="minor"/>
    </font>
    <font>
      <sz val="11"/>
      <name val="Calibri"/>
    </font>
    <font>
      <b/>
      <sz val="13"/>
      <color rgb="FFFFFFFF"/>
      <name val="Calibri"/>
    </font>
    <font>
      <i/>
      <sz val="10"/>
      <color rgb="FF333333"/>
      <name val="Calibri"/>
    </font>
    <font>
      <b/>
      <sz val="11"/>
      <color rgb="FF0C234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4E9C"/>
      <name val="Calibri"/>
    </font>
    <font>
      <b/>
      <sz val="11"/>
      <color rgb="FF7A4B12"/>
      <name val="Calibri"/>
    </font>
    <font>
      <sz val="11"/>
      <color rgb="FF000000"/>
      <name val="Calibri"/>
    </font>
    <font>
      <sz val="11"/>
      <color rgb="FF1F4E9C"/>
      <name val="Calibri"/>
    </font>
    <font>
      <sz val="11"/>
      <color rgb="FF7A4B12"/>
      <name val="Calibri"/>
    </font>
    <font>
      <b/>
      <sz val="11"/>
      <color rgb="FFC22A2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C2340"/>
      </patternFill>
    </fill>
    <fill>
      <patternFill patternType="solid">
        <fgColor rgb="FFE7ECF3"/>
      </patternFill>
    </fill>
    <fill>
      <patternFill patternType="solid">
        <fgColor rgb="FFF3F5F8"/>
      </patternFill>
    </fill>
    <fill>
      <patternFill patternType="solid">
        <fgColor rgb="FFFFF6C8"/>
      </patternFill>
    </fill>
  </fills>
  <borders count="10">
    <border>
      <left/>
      <right/>
      <top/>
      <bottom/>
      <diagonal/>
    </border>
    <border>
      <left style="medium">
        <color rgb="FF0C2340"/>
      </left>
      <right style="thin">
        <color rgb="FFC9D2DF"/>
      </right>
      <top style="medium">
        <color rgb="FF0C2340"/>
      </top>
      <bottom style="thin">
        <color rgb="FFC9D2DF"/>
      </bottom>
      <diagonal/>
    </border>
    <border>
      <left style="thin">
        <color rgb="FFC9D2DF"/>
      </left>
      <right style="thin">
        <color rgb="FFC9D2DF"/>
      </right>
      <top style="medium">
        <color rgb="FF0C2340"/>
      </top>
      <bottom style="thin">
        <color rgb="FFC9D2DF"/>
      </bottom>
      <diagonal/>
    </border>
    <border>
      <left style="thin">
        <color rgb="FFC9D2DF"/>
      </left>
      <right style="medium">
        <color rgb="FF0C2340"/>
      </right>
      <top style="medium">
        <color rgb="FF0C2340"/>
      </top>
      <bottom style="thin">
        <color rgb="FFC9D2DF"/>
      </bottom>
      <diagonal/>
    </border>
    <border>
      <left style="medium">
        <color rgb="FF0C2340"/>
      </left>
      <right style="thin">
        <color rgb="FFC9D2DF"/>
      </right>
      <top style="thin">
        <color rgb="FFC9D2DF"/>
      </top>
      <bottom style="thin">
        <color rgb="FFC9D2DF"/>
      </bottom>
      <diagonal/>
    </border>
    <border>
      <left style="thin">
        <color rgb="FFC9D2DF"/>
      </left>
      <right style="thin">
        <color rgb="FFC9D2DF"/>
      </right>
      <top style="thin">
        <color rgb="FFC9D2DF"/>
      </top>
      <bottom style="thin">
        <color rgb="FFC9D2DF"/>
      </bottom>
      <diagonal/>
    </border>
    <border>
      <left style="thin">
        <color rgb="FFC9D2DF"/>
      </left>
      <right style="medium">
        <color rgb="FF0C2340"/>
      </right>
      <top style="thin">
        <color rgb="FFC9D2DF"/>
      </top>
      <bottom style="thin">
        <color rgb="FFC9D2DF"/>
      </bottom>
      <diagonal/>
    </border>
    <border>
      <left style="medium">
        <color rgb="FF0C2340"/>
      </left>
      <right style="thin">
        <color rgb="FFC9D2DF"/>
      </right>
      <top style="thin">
        <color rgb="FFC9D2DF"/>
      </top>
      <bottom style="medium">
        <color rgb="FF0C2340"/>
      </bottom>
      <diagonal/>
    </border>
    <border>
      <left style="thin">
        <color rgb="FFC9D2DF"/>
      </left>
      <right style="thin">
        <color rgb="FFC9D2DF"/>
      </right>
      <top style="thin">
        <color rgb="FFC9D2DF"/>
      </top>
      <bottom style="medium">
        <color rgb="FF0C2340"/>
      </bottom>
      <diagonal/>
    </border>
    <border>
      <left style="thin">
        <color rgb="FFC9D2DF"/>
      </left>
      <right style="medium">
        <color rgb="FF0C2340"/>
      </right>
      <top style="thin">
        <color rgb="FFC9D2DF"/>
      </top>
      <bottom style="medium">
        <color rgb="FF0C234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87" fontId="1" fillId="0" borderId="0" xfId="0" applyNumberFormat="1" applyFont="1"/>
    <xf numFmtId="0" fontId="4" fillId="0" borderId="0" xfId="0" applyFont="1"/>
    <xf numFmtId="0" fontId="6" fillId="0" borderId="4" xfId="0" applyFont="1" applyBorder="1"/>
    <xf numFmtId="0" fontId="0" fillId="0" borderId="5" xfId="0" applyBorder="1"/>
    <xf numFmtId="0" fontId="4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4" borderId="4" xfId="0" applyFill="1" applyBorder="1"/>
    <xf numFmtId="0" fontId="6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5" borderId="4" xfId="0" applyFill="1" applyBorder="1"/>
    <xf numFmtId="0" fontId="6" fillId="5" borderId="5" xfId="0" applyFont="1" applyFill="1" applyBorder="1"/>
    <xf numFmtId="0" fontId="9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0" fillId="5" borderId="7" xfId="0" applyFill="1" applyBorder="1"/>
    <xf numFmtId="0" fontId="6" fillId="5" borderId="8" xfId="0" applyFont="1" applyFill="1" applyBorder="1"/>
    <xf numFmtId="0" fontId="9" fillId="5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3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25" x14ac:dyDescent="0.2"/>
  <cols>
    <col min="1" max="1" width="18" customWidth="1"/>
    <col min="2" max="4" width="13" customWidth="1"/>
  </cols>
  <sheetData>
    <row r="1" spans="1:4" ht="15" x14ac:dyDescent="0.25">
      <c r="A1" s="1" t="s">
        <v>0</v>
      </c>
      <c r="B1" s="2">
        <f ca="1">TODAY()</f>
        <v>46275</v>
      </c>
      <c r="C1" s="1"/>
      <c r="D1" s="1"/>
    </row>
    <row r="2" spans="1:4" ht="15" x14ac:dyDescent="0.25">
      <c r="A2" s="1"/>
      <c r="B2" s="1"/>
      <c r="C2" s="1"/>
      <c r="D2" s="1"/>
    </row>
    <row r="3" spans="1:4" ht="15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15" x14ac:dyDescent="0.25">
      <c r="A4" s="1">
        <f ca="1">_xlfn.ISOWEEKNUM($B$4)</f>
        <v>37</v>
      </c>
      <c r="B4" s="2">
        <f ca="1">$B$1-(WEEKDAY($B$1,2)-1)</f>
        <v>46272</v>
      </c>
      <c r="C4" s="2">
        <f ca="1">$B$4+5</f>
        <v>46277</v>
      </c>
      <c r="D4" s="1">
        <f ca="1">_xlfn.ISOWEEKNUM($B$4)</f>
        <v>37</v>
      </c>
    </row>
    <row r="5" spans="1:4" ht="15" x14ac:dyDescent="0.25">
      <c r="A5" s="1">
        <f ca="1">_xlfn.ISOWEEKNUM($B$5)</f>
        <v>38</v>
      </c>
      <c r="B5" s="2">
        <f ca="1">$B$4+7</f>
        <v>46279</v>
      </c>
      <c r="C5" s="2">
        <f ca="1">$B$5+5</f>
        <v>46284</v>
      </c>
      <c r="D5" s="1">
        <f ca="1">_xlfn.ISOWEEKNUM($B$5)</f>
        <v>38</v>
      </c>
    </row>
    <row r="6" spans="1:4" ht="15" x14ac:dyDescent="0.25">
      <c r="A6" s="1">
        <f ca="1">_xlfn.ISOWEEKNUM($B$6)</f>
        <v>39</v>
      </c>
      <c r="B6" s="2">
        <f ca="1">$B$5+7</f>
        <v>46286</v>
      </c>
      <c r="C6" s="2">
        <f ca="1">$B$6+5</f>
        <v>46291</v>
      </c>
      <c r="D6" s="1">
        <f ca="1">_xlfn.ISOWEEKNUM($B$6)</f>
        <v>39</v>
      </c>
    </row>
    <row r="7" spans="1:4" ht="15" x14ac:dyDescent="0.25">
      <c r="A7" s="1">
        <f ca="1">_xlfn.ISOWEEKNUM($B$7)</f>
        <v>40</v>
      </c>
      <c r="B7" s="2">
        <f ca="1">$B$6+7</f>
        <v>46293</v>
      </c>
      <c r="C7" s="2">
        <f ca="1">$B$7+5</f>
        <v>46298</v>
      </c>
      <c r="D7" s="1">
        <f ca="1">_xlfn.ISOWEEKNUM($B$7)</f>
        <v>40</v>
      </c>
    </row>
    <row r="8" spans="1:4" ht="15" x14ac:dyDescent="0.25">
      <c r="A8" s="1"/>
      <c r="B8" s="1"/>
      <c r="C8" s="1"/>
      <c r="D8" s="1"/>
    </row>
    <row r="9" spans="1:4" ht="15" x14ac:dyDescent="0.25">
      <c r="A9" s="1" t="s">
        <v>5</v>
      </c>
      <c r="B9" s="2">
        <f ca="1">$B$1+1</f>
        <v>46276</v>
      </c>
      <c r="C9" s="1"/>
      <c r="D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"/>
  <sheetViews>
    <sheetView workbookViewId="0"/>
  </sheetViews>
  <sheetFormatPr defaultRowHeight="14.25" x14ac:dyDescent="0.2"/>
  <cols>
    <col min="1" max="1" width="16" customWidth="1"/>
    <col min="2" max="2" width="12" customWidth="1"/>
    <col min="3" max="11" width="7" customWidth="1"/>
  </cols>
  <sheetData>
    <row r="1" spans="1:11" ht="1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15" x14ac:dyDescent="0.25">
      <c r="A2" s="1" t="s">
        <v>17</v>
      </c>
      <c r="B2" s="2">
        <v>46275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ht="15" x14ac:dyDescent="0.25">
      <c r="A3" s="1" t="s">
        <v>18</v>
      </c>
      <c r="B3" s="2">
        <v>46279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5" x14ac:dyDescent="0.25">
      <c r="A4" s="1" t="s">
        <v>18</v>
      </c>
      <c r="B4" s="2">
        <v>46279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5" x14ac:dyDescent="0.25">
      <c r="A5" s="1" t="s">
        <v>18</v>
      </c>
      <c r="B5" s="2">
        <v>46279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ht="15" x14ac:dyDescent="0.25">
      <c r="A6" s="1" t="s">
        <v>18</v>
      </c>
      <c r="B6" s="2">
        <v>46279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ht="15" x14ac:dyDescent="0.25">
      <c r="A7" s="1" t="s">
        <v>18</v>
      </c>
      <c r="B7" s="2">
        <v>46280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ht="15" x14ac:dyDescent="0.25">
      <c r="A8" s="1" t="s">
        <v>18</v>
      </c>
      <c r="B8" s="2">
        <v>46280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5" x14ac:dyDescent="0.25">
      <c r="A9" s="1" t="s">
        <v>18</v>
      </c>
      <c r="B9" s="2">
        <v>46281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15" x14ac:dyDescent="0.25">
      <c r="A10" s="1" t="s">
        <v>18</v>
      </c>
      <c r="B10" s="2">
        <v>46281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15" x14ac:dyDescent="0.25">
      <c r="A11" s="1" t="s">
        <v>18</v>
      </c>
      <c r="B11" s="2">
        <v>46283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ht="15" x14ac:dyDescent="0.25">
      <c r="A12" s="1" t="s">
        <v>18</v>
      </c>
      <c r="B12" s="2">
        <v>46283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5" x14ac:dyDescent="0.25">
      <c r="A13" s="1" t="s">
        <v>18</v>
      </c>
      <c r="B13" s="2">
        <v>46283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ht="15" x14ac:dyDescent="0.25">
      <c r="A14" s="1" t="s">
        <v>17</v>
      </c>
      <c r="B14" s="2">
        <v>46284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ht="15" x14ac:dyDescent="0.25">
      <c r="A15" s="1" t="s">
        <v>17</v>
      </c>
      <c r="B15" s="2">
        <v>46286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ht="15" x14ac:dyDescent="0.25">
      <c r="A16" s="1" t="s">
        <v>18</v>
      </c>
      <c r="B16" s="2">
        <v>46286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ht="15" x14ac:dyDescent="0.25">
      <c r="A17" s="1" t="s">
        <v>18</v>
      </c>
      <c r="B17" s="2">
        <v>46288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ht="15" x14ac:dyDescent="0.25">
      <c r="A18" s="1" t="s">
        <v>18</v>
      </c>
      <c r="B18" s="2">
        <v>46289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t="15" x14ac:dyDescent="0.25">
      <c r="A19" s="1" t="s">
        <v>18</v>
      </c>
      <c r="B19" s="2">
        <v>46289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15" x14ac:dyDescent="0.25">
      <c r="A20" s="1" t="s">
        <v>17</v>
      </c>
      <c r="B20" s="2">
        <v>46270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</row>
    <row r="21" spans="1:11" ht="15" x14ac:dyDescent="0.25">
      <c r="A21" s="1" t="s">
        <v>17</v>
      </c>
      <c r="B21" s="2">
        <v>46270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</row>
    <row r="22" spans="1:11" ht="15" x14ac:dyDescent="0.25">
      <c r="A22" s="1" t="s">
        <v>17</v>
      </c>
      <c r="B22" s="2">
        <v>46270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</row>
    <row r="23" spans="1:11" ht="15" x14ac:dyDescent="0.25">
      <c r="A23" s="1" t="s">
        <v>17</v>
      </c>
      <c r="B23" s="2">
        <v>46272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</row>
    <row r="24" spans="1:11" ht="15" x14ac:dyDescent="0.25">
      <c r="A24" s="1" t="s">
        <v>17</v>
      </c>
      <c r="B24" s="2">
        <v>46272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</row>
    <row r="25" spans="1:11" ht="15" x14ac:dyDescent="0.25">
      <c r="A25" s="1" t="s">
        <v>17</v>
      </c>
      <c r="B25" s="2">
        <v>46272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</row>
    <row r="26" spans="1:11" ht="15" x14ac:dyDescent="0.25">
      <c r="A26" s="1" t="s">
        <v>17</v>
      </c>
      <c r="B26" s="2">
        <v>46272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</row>
    <row r="27" spans="1:11" ht="15" x14ac:dyDescent="0.25">
      <c r="A27" s="1" t="s">
        <v>17</v>
      </c>
      <c r="B27" s="2">
        <v>46275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</row>
    <row r="28" spans="1:11" ht="15" x14ac:dyDescent="0.25">
      <c r="A28" s="1" t="s">
        <v>17</v>
      </c>
      <c r="B28" s="2">
        <v>46275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</row>
    <row r="29" spans="1:11" ht="15" x14ac:dyDescent="0.25">
      <c r="A29" s="1" t="s">
        <v>18</v>
      </c>
      <c r="B29" s="2">
        <v>46275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</row>
    <row r="30" spans="1:11" ht="15" x14ac:dyDescent="0.25">
      <c r="A30" s="1" t="s">
        <v>18</v>
      </c>
      <c r="B30" s="2">
        <v>46276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</row>
    <row r="31" spans="1:11" ht="15" x14ac:dyDescent="0.25">
      <c r="A31" s="1" t="s">
        <v>18</v>
      </c>
      <c r="B31" s="2">
        <v>46276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</row>
    <row r="32" spans="1:11" ht="15" x14ac:dyDescent="0.25">
      <c r="A32" s="1" t="s">
        <v>18</v>
      </c>
      <c r="B32" s="2">
        <v>46276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</row>
    <row r="33" spans="1:11" ht="15" x14ac:dyDescent="0.25">
      <c r="A33" s="1" t="s">
        <v>18</v>
      </c>
      <c r="B33" s="2">
        <v>46276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</row>
    <row r="34" spans="1:11" ht="15" x14ac:dyDescent="0.25">
      <c r="A34" s="1" t="s">
        <v>18</v>
      </c>
      <c r="B34" s="2">
        <v>46277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</row>
    <row r="35" spans="1:11" ht="15" x14ac:dyDescent="0.25">
      <c r="A35" s="1" t="s">
        <v>17</v>
      </c>
      <c r="B35" s="2">
        <v>46277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</row>
    <row r="36" spans="1:11" ht="15" x14ac:dyDescent="0.25">
      <c r="A36" s="1" t="s">
        <v>17</v>
      </c>
      <c r="B36" s="2">
        <v>46277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</row>
    <row r="37" spans="1:11" ht="15" x14ac:dyDescent="0.25">
      <c r="A37" s="1" t="s">
        <v>18</v>
      </c>
      <c r="B37" s="2">
        <v>46279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</row>
    <row r="38" spans="1:11" ht="15" x14ac:dyDescent="0.25">
      <c r="A38" s="1" t="s">
        <v>18</v>
      </c>
      <c r="B38" s="2">
        <v>46279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</row>
    <row r="39" spans="1:11" ht="15" x14ac:dyDescent="0.25">
      <c r="A39" s="1" t="s">
        <v>18</v>
      </c>
      <c r="B39" s="2">
        <v>46279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</row>
    <row r="40" spans="1:11" ht="15" x14ac:dyDescent="0.25">
      <c r="A40" s="1" t="s">
        <v>18</v>
      </c>
      <c r="B40" s="2">
        <v>46279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</row>
    <row r="41" spans="1:11" ht="15" x14ac:dyDescent="0.25">
      <c r="A41" s="1" t="s">
        <v>18</v>
      </c>
      <c r="B41" s="2">
        <v>46279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</row>
    <row r="42" spans="1:11" ht="15" x14ac:dyDescent="0.25">
      <c r="A42" s="1" t="s">
        <v>17</v>
      </c>
      <c r="B42" s="2">
        <v>46279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</row>
    <row r="43" spans="1:11" ht="15" x14ac:dyDescent="0.25">
      <c r="A43" s="1" t="s">
        <v>17</v>
      </c>
      <c r="B43" s="2">
        <v>46279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</row>
    <row r="44" spans="1:11" ht="15" x14ac:dyDescent="0.25">
      <c r="A44" s="1" t="s">
        <v>17</v>
      </c>
      <c r="B44" s="2">
        <v>46279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</row>
    <row r="45" spans="1:11" ht="15" x14ac:dyDescent="0.25">
      <c r="A45" s="1" t="s">
        <v>17</v>
      </c>
      <c r="B45" s="2">
        <v>46280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</row>
    <row r="46" spans="1:11" ht="15" x14ac:dyDescent="0.25">
      <c r="A46" s="1" t="s">
        <v>17</v>
      </c>
      <c r="B46" s="2">
        <v>46280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</row>
    <row r="47" spans="1:11" ht="15" x14ac:dyDescent="0.25">
      <c r="A47" s="1" t="s">
        <v>17</v>
      </c>
      <c r="B47" s="2">
        <v>46280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</row>
    <row r="48" spans="1:11" ht="15" x14ac:dyDescent="0.25">
      <c r="A48" s="1" t="s">
        <v>18</v>
      </c>
      <c r="B48" s="2">
        <v>46281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</row>
    <row r="49" spans="1:11" ht="15" x14ac:dyDescent="0.25">
      <c r="A49" s="1" t="s">
        <v>18</v>
      </c>
      <c r="B49" s="2">
        <v>46281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</row>
    <row r="50" spans="1:11" ht="15" x14ac:dyDescent="0.25">
      <c r="A50" s="1" t="s">
        <v>17</v>
      </c>
      <c r="B50" s="2">
        <v>46281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</row>
    <row r="51" spans="1:11" ht="15" x14ac:dyDescent="0.25">
      <c r="A51" s="1" t="s">
        <v>18</v>
      </c>
      <c r="B51" s="2">
        <v>46281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</row>
    <row r="52" spans="1:11" ht="15" x14ac:dyDescent="0.25">
      <c r="A52" s="1" t="s">
        <v>18</v>
      </c>
      <c r="B52" s="2">
        <v>46281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</row>
    <row r="53" spans="1:11" ht="15" x14ac:dyDescent="0.25">
      <c r="A53" s="1" t="s">
        <v>17</v>
      </c>
      <c r="B53" s="2">
        <v>46282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</row>
    <row r="54" spans="1:11" ht="15" x14ac:dyDescent="0.25">
      <c r="A54" s="1" t="s">
        <v>17</v>
      </c>
      <c r="B54" s="2">
        <v>46282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</row>
    <row r="55" spans="1:11" ht="15" x14ac:dyDescent="0.25">
      <c r="A55" s="1" t="s">
        <v>17</v>
      </c>
      <c r="B55" s="2">
        <v>46282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</row>
    <row r="56" spans="1:11" ht="15" x14ac:dyDescent="0.25">
      <c r="A56" s="1" t="s">
        <v>18</v>
      </c>
      <c r="B56" s="2">
        <v>46282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</row>
    <row r="57" spans="1:11" ht="15" x14ac:dyDescent="0.25">
      <c r="A57" s="1" t="s">
        <v>17</v>
      </c>
      <c r="B57" s="2">
        <v>46282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</row>
    <row r="58" spans="1:11" ht="15" x14ac:dyDescent="0.25">
      <c r="A58" s="1" t="s">
        <v>18</v>
      </c>
      <c r="B58" s="2">
        <v>46282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</row>
    <row r="59" spans="1:11" ht="15" x14ac:dyDescent="0.25">
      <c r="A59" s="1" t="s">
        <v>17</v>
      </c>
      <c r="B59" s="2">
        <v>46282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</row>
    <row r="60" spans="1:11" ht="15" x14ac:dyDescent="0.25">
      <c r="A60" s="1" t="s">
        <v>17</v>
      </c>
      <c r="B60" s="2">
        <v>46282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</row>
    <row r="61" spans="1:11" ht="15" x14ac:dyDescent="0.25">
      <c r="A61" s="1" t="s">
        <v>17</v>
      </c>
      <c r="B61" s="2">
        <v>46282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</row>
    <row r="62" spans="1:11" ht="15" x14ac:dyDescent="0.25">
      <c r="A62" s="1" t="s">
        <v>18</v>
      </c>
      <c r="B62" s="2">
        <v>46282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</row>
    <row r="63" spans="1:11" ht="15" x14ac:dyDescent="0.25">
      <c r="A63" s="1" t="s">
        <v>18</v>
      </c>
      <c r="B63" s="2">
        <v>46282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</row>
    <row r="64" spans="1:11" ht="15" x14ac:dyDescent="0.25">
      <c r="A64" s="1" t="s">
        <v>17</v>
      </c>
      <c r="B64" s="2">
        <v>46283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</row>
    <row r="65" spans="1:11" ht="15" x14ac:dyDescent="0.25">
      <c r="A65" s="1" t="s">
        <v>18</v>
      </c>
      <c r="B65" s="2">
        <v>46283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</row>
    <row r="66" spans="1:11" ht="15" x14ac:dyDescent="0.25">
      <c r="A66" s="1" t="s">
        <v>17</v>
      </c>
      <c r="B66" s="2">
        <v>46283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</row>
    <row r="67" spans="1:11" ht="15" x14ac:dyDescent="0.25">
      <c r="A67" s="1" t="s">
        <v>17</v>
      </c>
      <c r="B67" s="2">
        <v>46283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</row>
    <row r="68" spans="1:11" ht="15" x14ac:dyDescent="0.25">
      <c r="A68" s="1" t="s">
        <v>17</v>
      </c>
      <c r="B68" s="2">
        <v>46283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</row>
    <row r="69" spans="1:11" ht="15" x14ac:dyDescent="0.25">
      <c r="A69" s="1" t="s">
        <v>18</v>
      </c>
      <c r="B69" s="2">
        <v>46283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</row>
    <row r="70" spans="1:11" ht="15" x14ac:dyDescent="0.25">
      <c r="A70" s="1" t="s">
        <v>18</v>
      </c>
      <c r="B70" s="2">
        <v>46284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</row>
    <row r="71" spans="1:11" ht="15" x14ac:dyDescent="0.25">
      <c r="A71" s="1" t="s">
        <v>17</v>
      </c>
      <c r="B71" s="2">
        <v>46284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</row>
    <row r="72" spans="1:11" ht="15" x14ac:dyDescent="0.25">
      <c r="A72" s="1" t="s">
        <v>17</v>
      </c>
      <c r="B72" s="2">
        <v>46284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</row>
    <row r="73" spans="1:11" ht="15" x14ac:dyDescent="0.25">
      <c r="A73" s="1" t="s">
        <v>18</v>
      </c>
      <c r="B73" s="2">
        <v>46284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</row>
    <row r="74" spans="1:11" ht="15" x14ac:dyDescent="0.25">
      <c r="A74" s="1" t="s">
        <v>18</v>
      </c>
      <c r="B74" s="2">
        <v>46284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</row>
    <row r="75" spans="1:11" ht="15" x14ac:dyDescent="0.25">
      <c r="A75" s="1" t="s">
        <v>18</v>
      </c>
      <c r="B75" s="2">
        <v>46284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</row>
    <row r="76" spans="1:11" ht="15" x14ac:dyDescent="0.25">
      <c r="A76" s="1" t="s">
        <v>18</v>
      </c>
      <c r="B76" s="2">
        <v>46284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</row>
    <row r="77" spans="1:11" ht="15" x14ac:dyDescent="0.25">
      <c r="A77" s="1" t="s">
        <v>17</v>
      </c>
      <c r="B77" s="2">
        <v>46284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</row>
    <row r="78" spans="1:11" ht="15" x14ac:dyDescent="0.25">
      <c r="A78" s="1" t="s">
        <v>18</v>
      </c>
      <c r="B78" s="2">
        <v>46284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</row>
    <row r="79" spans="1:11" ht="15" x14ac:dyDescent="0.25">
      <c r="A79" s="1" t="s">
        <v>18</v>
      </c>
      <c r="B79" s="2">
        <v>46286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</row>
    <row r="80" spans="1:11" ht="15" x14ac:dyDescent="0.25">
      <c r="A80" s="1" t="s">
        <v>18</v>
      </c>
      <c r="B80" s="2">
        <v>46287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</row>
    <row r="81" spans="1:11" ht="15" x14ac:dyDescent="0.25">
      <c r="A81" s="1" t="s">
        <v>18</v>
      </c>
      <c r="B81" s="2">
        <v>46288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</row>
    <row r="82" spans="1:11" ht="15" x14ac:dyDescent="0.25">
      <c r="A82" s="1" t="s">
        <v>18</v>
      </c>
      <c r="B82" s="2">
        <v>46288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 ht="15" x14ac:dyDescent="0.25">
      <c r="A83" s="1" t="s">
        <v>17</v>
      </c>
      <c r="B83" s="2">
        <v>46288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</row>
    <row r="84" spans="1:11" ht="15" x14ac:dyDescent="0.25">
      <c r="A84" s="1" t="s">
        <v>18</v>
      </c>
      <c r="B84" s="2">
        <v>46288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</row>
    <row r="85" spans="1:11" ht="15" x14ac:dyDescent="0.25">
      <c r="A85" s="1" t="s">
        <v>18</v>
      </c>
      <c r="B85" s="2">
        <v>46288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</row>
    <row r="86" spans="1:11" ht="15" x14ac:dyDescent="0.25">
      <c r="A86" s="1" t="s">
        <v>18</v>
      </c>
      <c r="B86" s="2">
        <v>46288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</row>
    <row r="87" spans="1:11" ht="15" x14ac:dyDescent="0.25">
      <c r="A87" s="1" t="s">
        <v>18</v>
      </c>
      <c r="B87" s="2">
        <v>46289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</row>
    <row r="88" spans="1:11" ht="15" x14ac:dyDescent="0.25">
      <c r="A88" s="1" t="s">
        <v>18</v>
      </c>
      <c r="B88" s="2">
        <v>46289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</row>
    <row r="89" spans="1:11" ht="15" x14ac:dyDescent="0.25">
      <c r="A89" s="1" t="s">
        <v>18</v>
      </c>
      <c r="B89" s="2">
        <v>46290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</row>
    <row r="90" spans="1:11" ht="15" x14ac:dyDescent="0.25">
      <c r="A90" s="1" t="s">
        <v>18</v>
      </c>
      <c r="B90" s="2">
        <v>46290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</row>
    <row r="91" spans="1:11" ht="15" x14ac:dyDescent="0.25">
      <c r="A91" s="1" t="s">
        <v>18</v>
      </c>
      <c r="B91" s="2">
        <v>46290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</row>
    <row r="92" spans="1:11" ht="15" x14ac:dyDescent="0.25">
      <c r="A92" s="1" t="s">
        <v>18</v>
      </c>
      <c r="B92" s="2">
        <v>46290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</row>
    <row r="93" spans="1:11" ht="15" x14ac:dyDescent="0.25">
      <c r="A93" s="1" t="s">
        <v>18</v>
      </c>
      <c r="B93" s="2">
        <v>46290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</row>
    <row r="94" spans="1:11" ht="15" x14ac:dyDescent="0.25">
      <c r="A94" s="1" t="s">
        <v>17</v>
      </c>
      <c r="B94" s="2">
        <v>46279</v>
      </c>
      <c r="C94" s="1">
        <v>0</v>
      </c>
      <c r="D94" s="1">
        <v>0</v>
      </c>
      <c r="E94" s="1">
        <v>0</v>
      </c>
      <c r="F94" s="1">
        <v>0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</row>
    <row r="95" spans="1:11" ht="15" x14ac:dyDescent="0.25">
      <c r="A95" s="1" t="s">
        <v>18</v>
      </c>
      <c r="B95" s="2">
        <v>46281</v>
      </c>
      <c r="C95" s="1">
        <v>0</v>
      </c>
      <c r="D95" s="1">
        <v>0</v>
      </c>
      <c r="E95" s="1">
        <v>0</v>
      </c>
      <c r="F95" s="1">
        <v>0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</row>
    <row r="96" spans="1:11" ht="15" x14ac:dyDescent="0.25">
      <c r="A96" s="1" t="s">
        <v>17</v>
      </c>
      <c r="B96" s="2">
        <v>46282</v>
      </c>
      <c r="C96" s="1">
        <v>0</v>
      </c>
      <c r="D96" s="1">
        <v>0</v>
      </c>
      <c r="E96" s="1">
        <v>0</v>
      </c>
      <c r="F96" s="1">
        <v>0</v>
      </c>
      <c r="G96" s="1">
        <v>2</v>
      </c>
      <c r="H96" s="1">
        <v>0</v>
      </c>
      <c r="I96" s="1">
        <v>0</v>
      </c>
      <c r="J96" s="1">
        <v>0</v>
      </c>
      <c r="K96" s="1">
        <v>0</v>
      </c>
    </row>
    <row r="97" spans="1:11" ht="15" x14ac:dyDescent="0.25">
      <c r="A97" s="1" t="s">
        <v>17</v>
      </c>
      <c r="B97" s="2">
        <v>46284</v>
      </c>
      <c r="C97" s="1">
        <v>0</v>
      </c>
      <c r="D97" s="1">
        <v>0</v>
      </c>
      <c r="E97" s="1">
        <v>0</v>
      </c>
      <c r="F97" s="1">
        <v>0</v>
      </c>
      <c r="G97" s="1">
        <v>2</v>
      </c>
      <c r="H97" s="1">
        <v>0</v>
      </c>
      <c r="I97" s="1">
        <v>0</v>
      </c>
      <c r="J97" s="1">
        <v>0</v>
      </c>
      <c r="K97" s="1">
        <v>0</v>
      </c>
    </row>
    <row r="98" spans="1:11" ht="15" x14ac:dyDescent="0.25">
      <c r="A98" s="1" t="s">
        <v>18</v>
      </c>
      <c r="B98" s="2">
        <v>46291</v>
      </c>
      <c r="C98" s="1">
        <v>0</v>
      </c>
      <c r="D98" s="1">
        <v>0</v>
      </c>
      <c r="E98" s="1">
        <v>0</v>
      </c>
      <c r="F98" s="1">
        <v>0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</row>
    <row r="99" spans="1:11" ht="15" x14ac:dyDescent="0.25">
      <c r="A99" s="1" t="s">
        <v>18</v>
      </c>
      <c r="B99" s="2">
        <v>46279</v>
      </c>
      <c r="C99" s="1">
        <v>0</v>
      </c>
      <c r="D99" s="1">
        <v>0</v>
      </c>
      <c r="E99" s="1">
        <v>0</v>
      </c>
      <c r="F99" s="1">
        <v>0</v>
      </c>
      <c r="G99" s="1">
        <v>4</v>
      </c>
      <c r="H99" s="1">
        <v>0</v>
      </c>
      <c r="I99" s="1">
        <v>0</v>
      </c>
      <c r="J99" s="1">
        <v>0</v>
      </c>
      <c r="K99" s="1">
        <v>0</v>
      </c>
    </row>
    <row r="100" spans="1:11" ht="15" x14ac:dyDescent="0.25">
      <c r="A100" s="1" t="s">
        <v>18</v>
      </c>
      <c r="B100" s="2">
        <v>46280</v>
      </c>
      <c r="C100" s="1">
        <v>0</v>
      </c>
      <c r="D100" s="1">
        <v>0</v>
      </c>
      <c r="E100" s="1">
        <v>0</v>
      </c>
      <c r="F100" s="1">
        <v>0</v>
      </c>
      <c r="G100" s="1">
        <v>4</v>
      </c>
      <c r="H100" s="1">
        <v>0</v>
      </c>
      <c r="I100" s="1">
        <v>0</v>
      </c>
      <c r="J100" s="1">
        <v>0</v>
      </c>
      <c r="K100" s="1">
        <v>0</v>
      </c>
    </row>
    <row r="101" spans="1:11" ht="15" x14ac:dyDescent="0.25">
      <c r="A101" s="1" t="s">
        <v>17</v>
      </c>
      <c r="B101" s="2">
        <v>46281</v>
      </c>
      <c r="C101" s="1">
        <v>0</v>
      </c>
      <c r="D101" s="1">
        <v>0</v>
      </c>
      <c r="E101" s="1">
        <v>0</v>
      </c>
      <c r="F101" s="1">
        <v>0</v>
      </c>
      <c r="G101" s="1">
        <v>4</v>
      </c>
      <c r="H101" s="1">
        <v>0</v>
      </c>
      <c r="I101" s="1">
        <v>0</v>
      </c>
      <c r="J101" s="1">
        <v>0</v>
      </c>
      <c r="K101" s="1">
        <v>0</v>
      </c>
    </row>
    <row r="102" spans="1:11" ht="15" x14ac:dyDescent="0.25">
      <c r="A102" s="1" t="s">
        <v>18</v>
      </c>
      <c r="B102" s="2">
        <v>46286</v>
      </c>
      <c r="C102" s="1">
        <v>0</v>
      </c>
      <c r="D102" s="1">
        <v>0</v>
      </c>
      <c r="E102" s="1">
        <v>0</v>
      </c>
      <c r="F102" s="1">
        <v>0</v>
      </c>
      <c r="G102" s="1">
        <v>5</v>
      </c>
      <c r="H102" s="1">
        <v>0</v>
      </c>
      <c r="I102" s="1">
        <v>0</v>
      </c>
      <c r="J102" s="1">
        <v>0</v>
      </c>
      <c r="K102" s="1">
        <v>0</v>
      </c>
    </row>
    <row r="103" spans="1:11" ht="15" x14ac:dyDescent="0.25">
      <c r="A103" s="1" t="s">
        <v>18</v>
      </c>
      <c r="B103" s="2">
        <v>46279</v>
      </c>
      <c r="C103" s="1">
        <v>0</v>
      </c>
      <c r="D103" s="1">
        <v>0</v>
      </c>
      <c r="E103" s="1">
        <v>0</v>
      </c>
      <c r="F103" s="1">
        <v>0</v>
      </c>
      <c r="G103" s="1">
        <v>6</v>
      </c>
      <c r="H103" s="1">
        <v>0</v>
      </c>
      <c r="I103" s="1">
        <v>0</v>
      </c>
      <c r="J103" s="1">
        <v>0</v>
      </c>
      <c r="K103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4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2"/>
  <cols>
    <col min="1" max="1" width="5.5" customWidth="1"/>
    <col min="2" max="2" width="20" customWidth="1"/>
    <col min="3" max="11" width="6.25" customWidth="1"/>
    <col min="12" max="12" width="2.25" customWidth="1"/>
    <col min="13" max="13" width="5.5" customWidth="1"/>
    <col min="14" max="14" width="20" customWidth="1"/>
    <col min="15" max="23" width="6.25" customWidth="1"/>
    <col min="24" max="24" width="2.25" customWidth="1"/>
    <col min="25" max="25" width="5.5" customWidth="1"/>
    <col min="26" max="26" width="20" customWidth="1"/>
    <col min="27" max="35" width="6.25" customWidth="1"/>
  </cols>
  <sheetData>
    <row r="1" spans="1:35" ht="12.95" customHeight="1" x14ac:dyDescent="0.3">
      <c r="A1" s="35" t="str">
        <f ca="1">"Stock Daily - Reefer  (Stock vs Booking)   as of "&amp;DAY(Control!$B$1)&amp;" "&amp;CHOOSE(MONTH(Control!$B$1),"Jan","Feb","Mar","Apr","May","Jun","Jul","Aug","Sep","Oct","Nov","Dec")&amp;" "&amp;YEAR(Control!$B$1)</f>
        <v>Stock Daily - Reefer  (Stock vs Booking)   as of 10 Sep 2026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5" ht="12.95" customHeight="1" x14ac:dyDescent="0.2">
      <c r="A2" s="33" t="str">
        <f ca="1">"Report date  "&amp;TEXT(Control!$B$1,"yyyy-mm-dd")&amp;"      Legend:  RE = reefer (blue)   OT/FR = special (brown)   AV Balance = stock - cumulative booking (yellow; red = short)"</f>
        <v>Report date  2026-09-10      Legend:  RE = reefer (blue)   OT/FR = special (brown)   AV Balance = stock - cumulative booking (yellow; red = short)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5" ht="12.95" customHeight="1" x14ac:dyDescent="0.25">
      <c r="A3" s="3" t="s">
        <v>19</v>
      </c>
      <c r="M3" s="3" t="s">
        <v>19</v>
      </c>
      <c r="Y3" s="3" t="s">
        <v>20</v>
      </c>
    </row>
    <row r="4" spans="1:35" ht="12.95" customHeight="1" x14ac:dyDescent="0.25">
      <c r="A4" s="30" t="s">
        <v>21</v>
      </c>
      <c r="B4" s="31"/>
      <c r="C4" s="31"/>
      <c r="D4" s="31"/>
      <c r="E4" s="31"/>
      <c r="F4" s="31"/>
      <c r="G4" s="31"/>
      <c r="H4" s="31"/>
      <c r="I4" s="31"/>
      <c r="J4" s="31"/>
      <c r="K4" s="32"/>
      <c r="M4" s="30" t="s">
        <v>22</v>
      </c>
      <c r="N4" s="31"/>
      <c r="O4" s="31"/>
      <c r="P4" s="31"/>
      <c r="Q4" s="31"/>
      <c r="R4" s="31"/>
      <c r="S4" s="31"/>
      <c r="T4" s="31"/>
      <c r="U4" s="31"/>
      <c r="V4" s="31"/>
      <c r="W4" s="32"/>
      <c r="Y4" s="30" t="s">
        <v>17</v>
      </c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ht="12.95" customHeight="1" x14ac:dyDescent="0.25">
      <c r="A5" s="4" t="s">
        <v>23</v>
      </c>
      <c r="B5" s="5"/>
      <c r="C5" s="6" t="s">
        <v>8</v>
      </c>
      <c r="D5" s="6" t="s">
        <v>9</v>
      </c>
      <c r="E5" s="6" t="s">
        <v>10</v>
      </c>
      <c r="F5" s="7" t="s">
        <v>11</v>
      </c>
      <c r="G5" s="7" t="s">
        <v>12</v>
      </c>
      <c r="H5" s="8" t="s">
        <v>13</v>
      </c>
      <c r="I5" s="8" t="s">
        <v>14</v>
      </c>
      <c r="J5" s="8" t="s">
        <v>15</v>
      </c>
      <c r="K5" s="9" t="s">
        <v>16</v>
      </c>
      <c r="M5" s="4" t="s">
        <v>23</v>
      </c>
      <c r="N5" s="5"/>
      <c r="O5" s="6" t="s">
        <v>8</v>
      </c>
      <c r="P5" s="6" t="s">
        <v>9</v>
      </c>
      <c r="Q5" s="6" t="s">
        <v>10</v>
      </c>
      <c r="R5" s="7" t="s">
        <v>11</v>
      </c>
      <c r="S5" s="7" t="s">
        <v>12</v>
      </c>
      <c r="T5" s="8" t="s">
        <v>13</v>
      </c>
      <c r="U5" s="8" t="s">
        <v>14</v>
      </c>
      <c r="V5" s="8" t="s">
        <v>15</v>
      </c>
      <c r="W5" s="9" t="s">
        <v>16</v>
      </c>
      <c r="Y5" s="4" t="s">
        <v>23</v>
      </c>
      <c r="Z5" s="5"/>
      <c r="AA5" s="6" t="s">
        <v>8</v>
      </c>
      <c r="AB5" s="6" t="s">
        <v>9</v>
      </c>
      <c r="AC5" s="6" t="s">
        <v>10</v>
      </c>
      <c r="AD5" s="7" t="s">
        <v>11</v>
      </c>
      <c r="AE5" s="7" t="s">
        <v>12</v>
      </c>
      <c r="AF5" s="8" t="s">
        <v>13</v>
      </c>
      <c r="AG5" s="8" t="s">
        <v>14</v>
      </c>
      <c r="AH5" s="8" t="s">
        <v>15</v>
      </c>
      <c r="AI5" s="9" t="s">
        <v>16</v>
      </c>
    </row>
    <row r="6" spans="1:35" ht="12.95" customHeight="1" x14ac:dyDescent="0.25">
      <c r="A6" s="10"/>
      <c r="B6" s="11" t="s">
        <v>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3">
        <v>0</v>
      </c>
      <c r="M6" s="10"/>
      <c r="N6" s="11" t="s">
        <v>24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3">
        <v>0</v>
      </c>
      <c r="Y6" s="10"/>
      <c r="Z6" s="11" t="s">
        <v>24</v>
      </c>
      <c r="AA6" s="12">
        <v>0</v>
      </c>
      <c r="AB6" s="12">
        <v>0</v>
      </c>
      <c r="AC6" s="12">
        <v>0</v>
      </c>
      <c r="AD6" s="12">
        <v>7</v>
      </c>
      <c r="AE6" s="12">
        <v>66</v>
      </c>
      <c r="AF6" s="12">
        <v>0</v>
      </c>
      <c r="AG6" s="12">
        <v>0</v>
      </c>
      <c r="AH6" s="12">
        <v>0</v>
      </c>
      <c r="AI6" s="13">
        <v>0</v>
      </c>
    </row>
    <row r="7" spans="1:35" ht="12.95" customHeight="1" x14ac:dyDescent="0.25">
      <c r="A7" s="14">
        <f ca="1">Control!$A$4</f>
        <v>37</v>
      </c>
      <c r="B7" s="15" t="s">
        <v>25</v>
      </c>
      <c r="C7" s="16">
        <f ca="1">SUMIFS(BookingRaw!$C$2:$C$600,BookingRaw!$A$2:$A$600,"BKK25",BookingRaw!$B$2:$B$600,"&lt;"&amp;Control!$B$1)</f>
        <v>0</v>
      </c>
      <c r="D7" s="16">
        <f ca="1">SUMIFS(BookingRaw!$D$2:$D$600,BookingRaw!$A$2:$A$600,"BKK25",BookingRaw!$B$2:$B$600,"&lt;"&amp;Control!$B$1)</f>
        <v>0</v>
      </c>
      <c r="E7" s="16">
        <f ca="1">SUMIFS(BookingRaw!$E$2:$E$600,BookingRaw!$A$2:$A$600,"BKK25",BookingRaw!$B$2:$B$600,"&lt;"&amp;Control!$B$1)</f>
        <v>0</v>
      </c>
      <c r="F7" s="17">
        <f ca="1">SUMIFS(BookingRaw!$F$2:$F$600,BookingRaw!$A$2:$A$600,"BKK25",BookingRaw!$B$2:$B$600,"&lt;"&amp;Control!$B$1)</f>
        <v>0</v>
      </c>
      <c r="G7" s="17">
        <f ca="1">SUMIFS(BookingRaw!$G$2:$G$600,BookingRaw!$A$2:$A$600,"BKK25",BookingRaw!$B$2:$B$600,"&lt;"&amp;Control!$B$1)</f>
        <v>0</v>
      </c>
      <c r="H7" s="18">
        <f ca="1">SUMIFS(BookingRaw!$H$2:$H$600,BookingRaw!$A$2:$A$600,"BKK25",BookingRaw!$B$2:$B$600,"&lt;"&amp;Control!$B$1)</f>
        <v>0</v>
      </c>
      <c r="I7" s="18">
        <f ca="1">SUMIFS(BookingRaw!$I$2:$I$600,BookingRaw!$A$2:$A$600,"BKK25",BookingRaw!$B$2:$B$600,"&lt;"&amp;Control!$B$1)</f>
        <v>0</v>
      </c>
      <c r="J7" s="18">
        <f ca="1">SUMIFS(BookingRaw!$J$2:$J$600,BookingRaw!$A$2:$A$600,"BKK25",BookingRaw!$B$2:$B$600,"&lt;"&amp;Control!$B$1)</f>
        <v>0</v>
      </c>
      <c r="K7" s="19">
        <f ca="1">SUMIFS(BookingRaw!$K$2:$K$600,BookingRaw!$A$2:$A$600,"BKK25",BookingRaw!$B$2:$B$600,"&lt;"&amp;Control!$B$1)</f>
        <v>0</v>
      </c>
      <c r="M7" s="14">
        <f ca="1">Control!$A$4</f>
        <v>37</v>
      </c>
      <c r="N7" s="15" t="s">
        <v>25</v>
      </c>
      <c r="O7" s="16">
        <f ca="1">SUMIFS(BookingRaw!$C$2:$C$600,BookingRaw!$A$2:$A$600,"BKK01",BookingRaw!$B$2:$B$600,"&lt;"&amp;Control!$B$1)</f>
        <v>0</v>
      </c>
      <c r="P7" s="16">
        <f ca="1">SUMIFS(BookingRaw!$D$2:$D$600,BookingRaw!$A$2:$A$600,"BKK01",BookingRaw!$B$2:$B$600,"&lt;"&amp;Control!$B$1)</f>
        <v>0</v>
      </c>
      <c r="Q7" s="16">
        <f ca="1">SUMIFS(BookingRaw!$E$2:$E$600,BookingRaw!$A$2:$A$600,"BKK01",BookingRaw!$B$2:$B$600,"&lt;"&amp;Control!$B$1)</f>
        <v>0</v>
      </c>
      <c r="R7" s="17">
        <f ca="1">SUMIFS(BookingRaw!$F$2:$F$600,BookingRaw!$A$2:$A$600,"BKK01",BookingRaw!$B$2:$B$600,"&lt;"&amp;Control!$B$1)</f>
        <v>0</v>
      </c>
      <c r="S7" s="17">
        <f ca="1">SUMIFS(BookingRaw!$G$2:$G$600,BookingRaw!$A$2:$A$600,"BKK01",BookingRaw!$B$2:$B$600,"&lt;"&amp;Control!$B$1)</f>
        <v>0</v>
      </c>
      <c r="T7" s="18">
        <f ca="1">SUMIFS(BookingRaw!$H$2:$H$600,BookingRaw!$A$2:$A$600,"BKK01",BookingRaw!$B$2:$B$600,"&lt;"&amp;Control!$B$1)</f>
        <v>0</v>
      </c>
      <c r="U7" s="18">
        <f ca="1">SUMIFS(BookingRaw!$I$2:$I$600,BookingRaw!$A$2:$A$600,"BKK01",BookingRaw!$B$2:$B$600,"&lt;"&amp;Control!$B$1)</f>
        <v>0</v>
      </c>
      <c r="V7" s="18">
        <f ca="1">SUMIFS(BookingRaw!$J$2:$J$600,BookingRaw!$A$2:$A$600,"BKK01",BookingRaw!$B$2:$B$600,"&lt;"&amp;Control!$B$1)</f>
        <v>0</v>
      </c>
      <c r="W7" s="19">
        <f ca="1">SUMIFS(BookingRaw!$K$2:$K$600,BookingRaw!$A$2:$A$600,"BKK01",BookingRaw!$B$2:$B$600,"&lt;"&amp;Control!$B$1)</f>
        <v>0</v>
      </c>
      <c r="Y7" s="14">
        <f ca="1">Control!$A$4</f>
        <v>37</v>
      </c>
      <c r="Z7" s="15" t="s">
        <v>25</v>
      </c>
      <c r="AA7" s="16">
        <f ca="1">SUMIFS(BookingRaw!$C$2:$C$600,BookingRaw!$A$2:$A$600,"LCH27",BookingRaw!$B$2:$B$600,"&lt;"&amp;Control!$B$1)</f>
        <v>0</v>
      </c>
      <c r="AB7" s="16">
        <f ca="1">SUMIFS(BookingRaw!$D$2:$D$600,BookingRaw!$A$2:$A$600,"LCH27",BookingRaw!$B$2:$B$600,"&lt;"&amp;Control!$B$1)</f>
        <v>0</v>
      </c>
      <c r="AC7" s="16">
        <f ca="1">SUMIFS(BookingRaw!$E$2:$E$600,BookingRaw!$A$2:$A$600,"LCH27",BookingRaw!$B$2:$B$600,"&lt;"&amp;Control!$B$1)</f>
        <v>0</v>
      </c>
      <c r="AD7" s="17">
        <f ca="1">SUMIFS(BookingRaw!$F$2:$F$600,BookingRaw!$A$2:$A$600,"LCH27",BookingRaw!$B$2:$B$600,"&lt;"&amp;Control!$B$1)</f>
        <v>0</v>
      </c>
      <c r="AE7" s="17">
        <f ca="1">SUMIFS(BookingRaw!$G$2:$G$600,BookingRaw!$A$2:$A$600,"LCH27",BookingRaw!$B$2:$B$600,"&lt;"&amp;Control!$B$1)</f>
        <v>7</v>
      </c>
      <c r="AF7" s="18">
        <f ca="1">SUMIFS(BookingRaw!$H$2:$H$600,BookingRaw!$A$2:$A$600,"LCH27",BookingRaw!$B$2:$B$600,"&lt;"&amp;Control!$B$1)</f>
        <v>0</v>
      </c>
      <c r="AG7" s="18">
        <f ca="1">SUMIFS(BookingRaw!$I$2:$I$600,BookingRaw!$A$2:$A$600,"LCH27",BookingRaw!$B$2:$B$600,"&lt;"&amp;Control!$B$1)</f>
        <v>0</v>
      </c>
      <c r="AH7" s="18">
        <f ca="1">SUMIFS(BookingRaw!$J$2:$J$600,BookingRaw!$A$2:$A$600,"LCH27",BookingRaw!$B$2:$B$600,"&lt;"&amp;Control!$B$1)</f>
        <v>0</v>
      </c>
      <c r="AI7" s="19">
        <f ca="1">SUMIFS(BookingRaw!$K$2:$K$600,BookingRaw!$A$2:$A$600,"LCH27",BookingRaw!$B$2:$B$600,"&lt;"&amp;Control!$B$1)</f>
        <v>0</v>
      </c>
    </row>
    <row r="8" spans="1:35" ht="12.95" customHeight="1" x14ac:dyDescent="0.25">
      <c r="A8" s="14">
        <f ca="1">Control!$A$4</f>
        <v>37</v>
      </c>
      <c r="B8" s="15" t="str">
        <f ca="1">"Booking on "&amp;DAY(Control!$B$1)&amp;" "&amp;CHOOSE(MONTH(Control!$B$1),"Jan","Feb","Mar","Apr","May","Jun","Jul","Aug","Sep","Oct","Nov","Dec")</f>
        <v>Booking on 10 Sep</v>
      </c>
      <c r="C8" s="16">
        <f ca="1">SUMIFS(BookingRaw!$C$2:$C$600,BookingRaw!$A$2:$A$600,"BKK25",BookingRaw!$B$2:$B$600,"="&amp;Control!$B$1)</f>
        <v>0</v>
      </c>
      <c r="D8" s="16">
        <f ca="1">SUMIFS(BookingRaw!$D$2:$D$600,BookingRaw!$A$2:$A$600,"BKK25",BookingRaw!$B$2:$B$600,"="&amp;Control!$B$1)</f>
        <v>0</v>
      </c>
      <c r="E8" s="16">
        <f ca="1">SUMIFS(BookingRaw!$E$2:$E$600,BookingRaw!$A$2:$A$600,"BKK25",BookingRaw!$B$2:$B$600,"="&amp;Control!$B$1)</f>
        <v>0</v>
      </c>
      <c r="F8" s="17">
        <f ca="1">SUMIFS(BookingRaw!$F$2:$F$600,BookingRaw!$A$2:$A$600,"BKK25",BookingRaw!$B$2:$B$600,"="&amp;Control!$B$1)</f>
        <v>0</v>
      </c>
      <c r="G8" s="17">
        <f ca="1">SUMIFS(BookingRaw!$G$2:$G$600,BookingRaw!$A$2:$A$600,"BKK25",BookingRaw!$B$2:$B$600,"="&amp;Control!$B$1)</f>
        <v>0</v>
      </c>
      <c r="H8" s="18">
        <f ca="1">SUMIFS(BookingRaw!$H$2:$H$600,BookingRaw!$A$2:$A$600,"BKK25",BookingRaw!$B$2:$B$600,"="&amp;Control!$B$1)</f>
        <v>0</v>
      </c>
      <c r="I8" s="18">
        <f ca="1">SUMIFS(BookingRaw!$I$2:$I$600,BookingRaw!$A$2:$A$600,"BKK25",BookingRaw!$B$2:$B$600,"="&amp;Control!$B$1)</f>
        <v>0</v>
      </c>
      <c r="J8" s="18">
        <f ca="1">SUMIFS(BookingRaw!$J$2:$J$600,BookingRaw!$A$2:$A$600,"BKK25",BookingRaw!$B$2:$B$600,"="&amp;Control!$B$1)</f>
        <v>0</v>
      </c>
      <c r="K8" s="19">
        <f ca="1">SUMIFS(BookingRaw!$K$2:$K$600,BookingRaw!$A$2:$A$600,"BKK25",BookingRaw!$B$2:$B$600,"="&amp;Control!$B$1)</f>
        <v>0</v>
      </c>
      <c r="M8" s="14">
        <f ca="1">Control!$A$4</f>
        <v>37</v>
      </c>
      <c r="N8" s="15" t="str">
        <f ca="1">"Booking on "&amp;DAY(Control!$B$1)&amp;" "&amp;CHOOSE(MONTH(Control!$B$1),"Jan","Feb","Mar","Apr","May","Jun","Jul","Aug","Sep","Oct","Nov","Dec")</f>
        <v>Booking on 10 Sep</v>
      </c>
      <c r="O8" s="16">
        <f ca="1">SUMIFS(BookingRaw!$C$2:$C$600,BookingRaw!$A$2:$A$600,"BKK01",BookingRaw!$B$2:$B$600,"="&amp;Control!$B$1)</f>
        <v>0</v>
      </c>
      <c r="P8" s="16">
        <f ca="1">SUMIFS(BookingRaw!$D$2:$D$600,BookingRaw!$A$2:$A$600,"BKK01",BookingRaw!$B$2:$B$600,"="&amp;Control!$B$1)</f>
        <v>0</v>
      </c>
      <c r="Q8" s="16">
        <f ca="1">SUMIFS(BookingRaw!$E$2:$E$600,BookingRaw!$A$2:$A$600,"BKK01",BookingRaw!$B$2:$B$600,"="&amp;Control!$B$1)</f>
        <v>0</v>
      </c>
      <c r="R8" s="17">
        <f ca="1">SUMIFS(BookingRaw!$F$2:$F$600,BookingRaw!$A$2:$A$600,"BKK01",BookingRaw!$B$2:$B$600,"="&amp;Control!$B$1)</f>
        <v>0</v>
      </c>
      <c r="S8" s="17">
        <f ca="1">SUMIFS(BookingRaw!$G$2:$G$600,BookingRaw!$A$2:$A$600,"BKK01",BookingRaw!$B$2:$B$600,"="&amp;Control!$B$1)</f>
        <v>0</v>
      </c>
      <c r="T8" s="18">
        <f ca="1">SUMIFS(BookingRaw!$H$2:$H$600,BookingRaw!$A$2:$A$600,"BKK01",BookingRaw!$B$2:$B$600,"="&amp;Control!$B$1)</f>
        <v>0</v>
      </c>
      <c r="U8" s="18">
        <f ca="1">SUMIFS(BookingRaw!$I$2:$I$600,BookingRaw!$A$2:$A$600,"BKK01",BookingRaw!$B$2:$B$600,"="&amp;Control!$B$1)</f>
        <v>0</v>
      </c>
      <c r="V8" s="18">
        <f ca="1">SUMIFS(BookingRaw!$J$2:$J$600,BookingRaw!$A$2:$A$600,"BKK01",BookingRaw!$B$2:$B$600,"="&amp;Control!$B$1)</f>
        <v>0</v>
      </c>
      <c r="W8" s="19">
        <f ca="1">SUMIFS(BookingRaw!$K$2:$K$600,BookingRaw!$A$2:$A$600,"BKK01",BookingRaw!$B$2:$B$600,"="&amp;Control!$B$1)</f>
        <v>0</v>
      </c>
      <c r="Y8" s="14">
        <f ca="1">Control!$A$4</f>
        <v>37</v>
      </c>
      <c r="Z8" s="15" t="str">
        <f ca="1">"Booking on "&amp;DAY(Control!$B$1)&amp;" "&amp;CHOOSE(MONTH(Control!$B$1),"Jan","Feb","Mar","Apr","May","Jun","Jul","Aug","Sep","Oct","Nov","Dec")</f>
        <v>Booking on 10 Sep</v>
      </c>
      <c r="AA8" s="16">
        <f ca="1">SUMIFS(BookingRaw!$C$2:$C$600,BookingRaw!$A$2:$A$600,"LCH27",BookingRaw!$B$2:$B$600,"="&amp;Control!$B$1)</f>
        <v>0</v>
      </c>
      <c r="AB8" s="16">
        <f ca="1">SUMIFS(BookingRaw!$D$2:$D$600,BookingRaw!$A$2:$A$600,"LCH27",BookingRaw!$B$2:$B$600,"="&amp;Control!$B$1)</f>
        <v>0</v>
      </c>
      <c r="AC8" s="16">
        <f ca="1">SUMIFS(BookingRaw!$E$2:$E$600,BookingRaw!$A$2:$A$600,"LCH27",BookingRaw!$B$2:$B$600,"="&amp;Control!$B$1)</f>
        <v>0</v>
      </c>
      <c r="AD8" s="17">
        <f ca="1">SUMIFS(BookingRaw!$F$2:$F$600,BookingRaw!$A$2:$A$600,"LCH27",BookingRaw!$B$2:$B$600,"="&amp;Control!$B$1)</f>
        <v>1</v>
      </c>
      <c r="AE8" s="17">
        <f ca="1">SUMIFS(BookingRaw!$G$2:$G$600,BookingRaw!$A$2:$A$600,"LCH27",BookingRaw!$B$2:$B$600,"="&amp;Control!$B$1)</f>
        <v>2</v>
      </c>
      <c r="AF8" s="18">
        <f ca="1">SUMIFS(BookingRaw!$H$2:$H$600,BookingRaw!$A$2:$A$600,"LCH27",BookingRaw!$B$2:$B$600,"="&amp;Control!$B$1)</f>
        <v>0</v>
      </c>
      <c r="AG8" s="18">
        <f ca="1">SUMIFS(BookingRaw!$I$2:$I$600,BookingRaw!$A$2:$A$600,"LCH27",BookingRaw!$B$2:$B$600,"="&amp;Control!$B$1)</f>
        <v>0</v>
      </c>
      <c r="AH8" s="18">
        <f ca="1">SUMIFS(BookingRaw!$J$2:$J$600,BookingRaw!$A$2:$A$600,"LCH27",BookingRaw!$B$2:$B$600,"="&amp;Control!$B$1)</f>
        <v>0</v>
      </c>
      <c r="AI8" s="19">
        <f ca="1">SUMIFS(BookingRaw!$K$2:$K$600,BookingRaw!$A$2:$A$600,"LCH27",BookingRaw!$B$2:$B$600,"="&amp;Control!$B$1)</f>
        <v>0</v>
      </c>
    </row>
    <row r="9" spans="1:35" ht="12.95" customHeight="1" x14ac:dyDescent="0.25">
      <c r="A9" s="14">
        <f ca="1">Control!$A$4</f>
        <v>37</v>
      </c>
      <c r="B9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C9" s="16">
        <f ca="1">SUMIFS(BookingRaw!$C$2:$C$600,BookingRaw!$A$2:$A$600,"BKK25",BookingRaw!$B$2:$B$600,"&gt;="&amp;Control!$B$9,BookingRaw!$B$2:$B$600,"&lt;="&amp;Control!$C$4)</f>
        <v>0</v>
      </c>
      <c r="D9" s="16">
        <f ca="1">SUMIFS(BookingRaw!$D$2:$D$600,BookingRaw!$A$2:$A$600,"BKK25",BookingRaw!$B$2:$B$600,"&gt;="&amp;Control!$B$9,BookingRaw!$B$2:$B$600,"&lt;="&amp;Control!$C$4)</f>
        <v>0</v>
      </c>
      <c r="E9" s="16">
        <f ca="1">SUMIFS(BookingRaw!$E$2:$E$600,BookingRaw!$A$2:$A$600,"BKK25",BookingRaw!$B$2:$B$600,"&gt;="&amp;Control!$B$9,BookingRaw!$B$2:$B$600,"&lt;="&amp;Control!$C$4)</f>
        <v>0</v>
      </c>
      <c r="F9" s="17">
        <f ca="1">SUMIFS(BookingRaw!$F$2:$F$600,BookingRaw!$A$2:$A$600,"BKK25",BookingRaw!$B$2:$B$600,"&gt;="&amp;Control!$B$9,BookingRaw!$B$2:$B$600,"&lt;="&amp;Control!$C$4)</f>
        <v>0</v>
      </c>
      <c r="G9" s="17">
        <f ca="1">SUMIFS(BookingRaw!$G$2:$G$600,BookingRaw!$A$2:$A$600,"BKK25",BookingRaw!$B$2:$B$600,"&gt;="&amp;Control!$B$9,BookingRaw!$B$2:$B$600,"&lt;="&amp;Control!$C$4)</f>
        <v>0</v>
      </c>
      <c r="H9" s="18">
        <f ca="1">SUMIFS(BookingRaw!$H$2:$H$600,BookingRaw!$A$2:$A$600,"BKK25",BookingRaw!$B$2:$B$600,"&gt;="&amp;Control!$B$9,BookingRaw!$B$2:$B$600,"&lt;="&amp;Control!$C$4)</f>
        <v>0</v>
      </c>
      <c r="I9" s="18">
        <f ca="1">SUMIFS(BookingRaw!$I$2:$I$600,BookingRaw!$A$2:$A$600,"BKK25",BookingRaw!$B$2:$B$600,"&gt;="&amp;Control!$B$9,BookingRaw!$B$2:$B$600,"&lt;="&amp;Control!$C$4)</f>
        <v>0</v>
      </c>
      <c r="J9" s="18">
        <f ca="1">SUMIFS(BookingRaw!$J$2:$J$600,BookingRaw!$A$2:$A$600,"BKK25",BookingRaw!$B$2:$B$600,"&gt;="&amp;Control!$B$9,BookingRaw!$B$2:$B$600,"&lt;="&amp;Control!$C$4)</f>
        <v>0</v>
      </c>
      <c r="K9" s="19">
        <f ca="1">SUMIFS(BookingRaw!$K$2:$K$600,BookingRaw!$A$2:$A$600,"BKK25",BookingRaw!$B$2:$B$600,"&gt;="&amp;Control!$B$9,BookingRaw!$B$2:$B$600,"&lt;="&amp;Control!$C$4)</f>
        <v>0</v>
      </c>
      <c r="M9" s="14">
        <f ca="1">Control!$A$4</f>
        <v>37</v>
      </c>
      <c r="N9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O9" s="16">
        <f ca="1">SUMIFS(BookingRaw!$C$2:$C$600,BookingRaw!$A$2:$A$600,"BKK01",BookingRaw!$B$2:$B$600,"&gt;="&amp;Control!$B$9,BookingRaw!$B$2:$B$600,"&lt;="&amp;Control!$C$4)</f>
        <v>0</v>
      </c>
      <c r="P9" s="16">
        <f ca="1">SUMIFS(BookingRaw!$D$2:$D$600,BookingRaw!$A$2:$A$600,"BKK01",BookingRaw!$B$2:$B$600,"&gt;="&amp;Control!$B$9,BookingRaw!$B$2:$B$600,"&lt;="&amp;Control!$C$4)</f>
        <v>0</v>
      </c>
      <c r="Q9" s="16">
        <f ca="1">SUMIFS(BookingRaw!$E$2:$E$600,BookingRaw!$A$2:$A$600,"BKK01",BookingRaw!$B$2:$B$600,"&gt;="&amp;Control!$B$9,BookingRaw!$B$2:$B$600,"&lt;="&amp;Control!$C$4)</f>
        <v>0</v>
      </c>
      <c r="R9" s="17">
        <f ca="1">SUMIFS(BookingRaw!$F$2:$F$600,BookingRaw!$A$2:$A$600,"BKK01",BookingRaw!$B$2:$B$600,"&gt;="&amp;Control!$B$9,BookingRaw!$B$2:$B$600,"&lt;="&amp;Control!$C$4)</f>
        <v>0</v>
      </c>
      <c r="S9" s="17">
        <f ca="1">SUMIFS(BookingRaw!$G$2:$G$600,BookingRaw!$A$2:$A$600,"BKK01",BookingRaw!$B$2:$B$600,"&gt;="&amp;Control!$B$9,BookingRaw!$B$2:$B$600,"&lt;="&amp;Control!$C$4)</f>
        <v>0</v>
      </c>
      <c r="T9" s="18">
        <f ca="1">SUMIFS(BookingRaw!$H$2:$H$600,BookingRaw!$A$2:$A$600,"BKK01",BookingRaw!$B$2:$B$600,"&gt;="&amp;Control!$B$9,BookingRaw!$B$2:$B$600,"&lt;="&amp;Control!$C$4)</f>
        <v>0</v>
      </c>
      <c r="U9" s="18">
        <f ca="1">SUMIFS(BookingRaw!$I$2:$I$600,BookingRaw!$A$2:$A$600,"BKK01",BookingRaw!$B$2:$B$600,"&gt;="&amp;Control!$B$9,BookingRaw!$B$2:$B$600,"&lt;="&amp;Control!$C$4)</f>
        <v>0</v>
      </c>
      <c r="V9" s="18">
        <f ca="1">SUMIFS(BookingRaw!$J$2:$J$600,BookingRaw!$A$2:$A$600,"BKK01",BookingRaw!$B$2:$B$600,"&gt;="&amp;Control!$B$9,BookingRaw!$B$2:$B$600,"&lt;="&amp;Control!$C$4)</f>
        <v>0</v>
      </c>
      <c r="W9" s="19">
        <f ca="1">SUMIFS(BookingRaw!$K$2:$K$600,BookingRaw!$A$2:$A$600,"BKK01",BookingRaw!$B$2:$B$600,"&gt;="&amp;Control!$B$9,BookingRaw!$B$2:$B$600,"&lt;="&amp;Control!$C$4)</f>
        <v>0</v>
      </c>
      <c r="Y9" s="14">
        <f ca="1">Control!$A$4</f>
        <v>37</v>
      </c>
      <c r="Z9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AA9" s="16">
        <f ca="1">SUMIFS(BookingRaw!$C$2:$C$600,BookingRaw!$A$2:$A$600,"LCH27",BookingRaw!$B$2:$B$600,"&gt;="&amp;Control!$B$9,BookingRaw!$B$2:$B$600,"&lt;="&amp;Control!$C$4)</f>
        <v>0</v>
      </c>
      <c r="AB9" s="16">
        <f ca="1">SUMIFS(BookingRaw!$D$2:$D$600,BookingRaw!$A$2:$A$600,"LCH27",BookingRaw!$B$2:$B$600,"&gt;="&amp;Control!$B$9,BookingRaw!$B$2:$B$600,"&lt;="&amp;Control!$C$4)</f>
        <v>0</v>
      </c>
      <c r="AC9" s="16">
        <f ca="1">SUMIFS(BookingRaw!$E$2:$E$600,BookingRaw!$A$2:$A$600,"LCH27",BookingRaw!$B$2:$B$600,"&gt;="&amp;Control!$B$9,BookingRaw!$B$2:$B$600,"&lt;="&amp;Control!$C$4)</f>
        <v>0</v>
      </c>
      <c r="AD9" s="17">
        <f ca="1">SUMIFS(BookingRaw!$F$2:$F$600,BookingRaw!$A$2:$A$600,"LCH27",BookingRaw!$B$2:$B$600,"&gt;="&amp;Control!$B$9,BookingRaw!$B$2:$B$600,"&lt;="&amp;Control!$C$4)</f>
        <v>0</v>
      </c>
      <c r="AE9" s="17">
        <f ca="1">SUMIFS(BookingRaw!$G$2:$G$600,BookingRaw!$A$2:$A$600,"LCH27",BookingRaw!$B$2:$B$600,"&gt;="&amp;Control!$B$9,BookingRaw!$B$2:$B$600,"&lt;="&amp;Control!$C$4)</f>
        <v>2</v>
      </c>
      <c r="AF9" s="18">
        <f ca="1">SUMIFS(BookingRaw!$H$2:$H$600,BookingRaw!$A$2:$A$600,"LCH27",BookingRaw!$B$2:$B$600,"&gt;="&amp;Control!$B$9,BookingRaw!$B$2:$B$600,"&lt;="&amp;Control!$C$4)</f>
        <v>0</v>
      </c>
      <c r="AG9" s="18">
        <f ca="1">SUMIFS(BookingRaw!$I$2:$I$600,BookingRaw!$A$2:$A$600,"LCH27",BookingRaw!$B$2:$B$600,"&gt;="&amp;Control!$B$9,BookingRaw!$B$2:$B$600,"&lt;="&amp;Control!$C$4)</f>
        <v>0</v>
      </c>
      <c r="AH9" s="18">
        <f ca="1">SUMIFS(BookingRaw!$J$2:$J$600,BookingRaw!$A$2:$A$600,"LCH27",BookingRaw!$B$2:$B$600,"&gt;="&amp;Control!$B$9,BookingRaw!$B$2:$B$600,"&lt;="&amp;Control!$C$4)</f>
        <v>0</v>
      </c>
      <c r="AI9" s="19">
        <f ca="1">SUMIFS(BookingRaw!$K$2:$K$600,BookingRaw!$A$2:$A$600,"LCH27",BookingRaw!$B$2:$B$600,"&gt;="&amp;Control!$B$9,BookingRaw!$B$2:$B$600,"&lt;="&amp;Control!$C$4)</f>
        <v>0</v>
      </c>
    </row>
    <row r="10" spans="1:35" ht="12.95" customHeight="1" x14ac:dyDescent="0.25">
      <c r="A10" s="20"/>
      <c r="B10" s="21" t="str">
        <f ca="1">"AV Balance till "&amp;DAY(Control!$C$4)&amp;" "&amp;CHOOSE(MONTH(Control!$C$4),"Jan","Feb","Mar","Apr","May","Jun","Jul","Aug","Sep","Oct","Nov","Dec")</f>
        <v>AV Balance till 12 Sep</v>
      </c>
      <c r="C10" s="22">
        <f t="shared" ref="C10:K10" ca="1" si="0">C6-C7-C8-C9</f>
        <v>0</v>
      </c>
      <c r="D10" s="22">
        <f t="shared" ca="1" si="0"/>
        <v>0</v>
      </c>
      <c r="E10" s="22">
        <f t="shared" ca="1" si="0"/>
        <v>0</v>
      </c>
      <c r="F10" s="22">
        <f t="shared" ca="1" si="0"/>
        <v>0</v>
      </c>
      <c r="G10" s="22">
        <f t="shared" ca="1" si="0"/>
        <v>0</v>
      </c>
      <c r="H10" s="22">
        <f t="shared" ca="1" si="0"/>
        <v>0</v>
      </c>
      <c r="I10" s="22">
        <f t="shared" ca="1" si="0"/>
        <v>0</v>
      </c>
      <c r="J10" s="22">
        <f t="shared" ca="1" si="0"/>
        <v>0</v>
      </c>
      <c r="K10" s="23">
        <f t="shared" ca="1" si="0"/>
        <v>0</v>
      </c>
      <c r="M10" s="20"/>
      <c r="N10" s="21" t="str">
        <f ca="1">"AV Balance till "&amp;DAY(Control!$C$4)&amp;" "&amp;CHOOSE(MONTH(Control!$C$4),"Jan","Feb","Mar","Apr","May","Jun","Jul","Aug","Sep","Oct","Nov","Dec")</f>
        <v>AV Balance till 12 Sep</v>
      </c>
      <c r="O10" s="22">
        <f t="shared" ref="O10:W10" ca="1" si="1">O6-O7-O8-O9</f>
        <v>0</v>
      </c>
      <c r="P10" s="22">
        <f t="shared" ca="1" si="1"/>
        <v>0</v>
      </c>
      <c r="Q10" s="22">
        <f t="shared" ca="1" si="1"/>
        <v>0</v>
      </c>
      <c r="R10" s="22">
        <f t="shared" ca="1" si="1"/>
        <v>0</v>
      </c>
      <c r="S10" s="22">
        <f t="shared" ca="1" si="1"/>
        <v>0</v>
      </c>
      <c r="T10" s="22">
        <f t="shared" ca="1" si="1"/>
        <v>0</v>
      </c>
      <c r="U10" s="22">
        <f t="shared" ca="1" si="1"/>
        <v>0</v>
      </c>
      <c r="V10" s="22">
        <f t="shared" ca="1" si="1"/>
        <v>0</v>
      </c>
      <c r="W10" s="23">
        <f t="shared" ca="1" si="1"/>
        <v>0</v>
      </c>
      <c r="Y10" s="20"/>
      <c r="Z10" s="21" t="str">
        <f ca="1">"AV Balance till "&amp;DAY(Control!$C$4)&amp;" "&amp;CHOOSE(MONTH(Control!$C$4),"Jan","Feb","Mar","Apr","May","Jun","Jul","Aug","Sep","Oct","Nov","Dec")</f>
        <v>AV Balance till 12 Sep</v>
      </c>
      <c r="AA10" s="22">
        <f t="shared" ref="AA10:AI10" ca="1" si="2">AA6-AA7-AA8-AA9</f>
        <v>0</v>
      </c>
      <c r="AB10" s="22">
        <f t="shared" ca="1" si="2"/>
        <v>0</v>
      </c>
      <c r="AC10" s="22">
        <f t="shared" ca="1" si="2"/>
        <v>0</v>
      </c>
      <c r="AD10" s="22">
        <f t="shared" ca="1" si="2"/>
        <v>6</v>
      </c>
      <c r="AE10" s="22">
        <f t="shared" ca="1" si="2"/>
        <v>55</v>
      </c>
      <c r="AF10" s="22">
        <f t="shared" ca="1" si="2"/>
        <v>0</v>
      </c>
      <c r="AG10" s="22">
        <f t="shared" ca="1" si="2"/>
        <v>0</v>
      </c>
      <c r="AH10" s="22">
        <f t="shared" ca="1" si="2"/>
        <v>0</v>
      </c>
      <c r="AI10" s="23">
        <f t="shared" ca="1" si="2"/>
        <v>0</v>
      </c>
    </row>
    <row r="11" spans="1:35" ht="12.95" customHeight="1" x14ac:dyDescent="0.25">
      <c r="A11" s="14">
        <f ca="1">Control!$A$5</f>
        <v>38</v>
      </c>
      <c r="B11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C11" s="16">
        <f ca="1">SUMIFS(BookingRaw!$C$2:$C$600,BookingRaw!$A$2:$A$600,"BKK25",BookingRaw!$B$2:$B$600,"&gt;="&amp;Control!$B$5,BookingRaw!$B$2:$B$600,"&lt;="&amp;Control!$C$5)</f>
        <v>0</v>
      </c>
      <c r="D11" s="16">
        <f ca="1">SUMIFS(BookingRaw!$D$2:$D$600,BookingRaw!$A$2:$A$600,"BKK25",BookingRaw!$B$2:$B$600,"&gt;="&amp;Control!$B$5,BookingRaw!$B$2:$B$600,"&lt;="&amp;Control!$C$5)</f>
        <v>0</v>
      </c>
      <c r="E11" s="16">
        <f ca="1">SUMIFS(BookingRaw!$E$2:$E$600,BookingRaw!$A$2:$A$600,"BKK25",BookingRaw!$B$2:$B$600,"&gt;="&amp;Control!$B$5,BookingRaw!$B$2:$B$600,"&lt;="&amp;Control!$C$5)</f>
        <v>0</v>
      </c>
      <c r="F11" s="17">
        <f ca="1">SUMIFS(BookingRaw!$F$2:$F$600,BookingRaw!$A$2:$A$600,"BKK25",BookingRaw!$B$2:$B$600,"&gt;="&amp;Control!$B$5,BookingRaw!$B$2:$B$600,"&lt;="&amp;Control!$C$5)</f>
        <v>0</v>
      </c>
      <c r="G11" s="17">
        <f ca="1">SUMIFS(BookingRaw!$G$2:$G$600,BookingRaw!$A$2:$A$600,"BKK25",BookingRaw!$B$2:$B$600,"&gt;="&amp;Control!$B$5,BookingRaw!$B$2:$B$600,"&lt;="&amp;Control!$C$5)</f>
        <v>0</v>
      </c>
      <c r="H11" s="18">
        <f ca="1">SUMIFS(BookingRaw!$H$2:$H$600,BookingRaw!$A$2:$A$600,"BKK25",BookingRaw!$B$2:$B$600,"&gt;="&amp;Control!$B$5,BookingRaw!$B$2:$B$600,"&lt;="&amp;Control!$C$5)</f>
        <v>0</v>
      </c>
      <c r="I11" s="18">
        <f ca="1">SUMIFS(BookingRaw!$I$2:$I$600,BookingRaw!$A$2:$A$600,"BKK25",BookingRaw!$B$2:$B$600,"&gt;="&amp;Control!$B$5,BookingRaw!$B$2:$B$600,"&lt;="&amp;Control!$C$5)</f>
        <v>0</v>
      </c>
      <c r="J11" s="18">
        <f ca="1">SUMIFS(BookingRaw!$J$2:$J$600,BookingRaw!$A$2:$A$600,"BKK25",BookingRaw!$B$2:$B$600,"&gt;="&amp;Control!$B$5,BookingRaw!$B$2:$B$600,"&lt;="&amp;Control!$C$5)</f>
        <v>0</v>
      </c>
      <c r="K11" s="19">
        <f ca="1">SUMIFS(BookingRaw!$K$2:$K$600,BookingRaw!$A$2:$A$600,"BKK25",BookingRaw!$B$2:$B$600,"&gt;="&amp;Control!$B$5,BookingRaw!$B$2:$B$600,"&lt;="&amp;Control!$C$5)</f>
        <v>0</v>
      </c>
      <c r="M11" s="14">
        <f ca="1">Control!$A$5</f>
        <v>38</v>
      </c>
      <c r="N11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O11" s="16">
        <f ca="1">SUMIFS(BookingRaw!$C$2:$C$600,BookingRaw!$A$2:$A$600,"BKK01",BookingRaw!$B$2:$B$600,"&gt;="&amp;Control!$B$5,BookingRaw!$B$2:$B$600,"&lt;="&amp;Control!$C$5)</f>
        <v>0</v>
      </c>
      <c r="P11" s="16">
        <f ca="1">SUMIFS(BookingRaw!$D$2:$D$600,BookingRaw!$A$2:$A$600,"BKK01",BookingRaw!$B$2:$B$600,"&gt;="&amp;Control!$B$5,BookingRaw!$B$2:$B$600,"&lt;="&amp;Control!$C$5)</f>
        <v>0</v>
      </c>
      <c r="Q11" s="16">
        <f ca="1">SUMIFS(BookingRaw!$E$2:$E$600,BookingRaw!$A$2:$A$600,"BKK01",BookingRaw!$B$2:$B$600,"&gt;="&amp;Control!$B$5,BookingRaw!$B$2:$B$600,"&lt;="&amp;Control!$C$5)</f>
        <v>0</v>
      </c>
      <c r="R11" s="17">
        <f ca="1">SUMIFS(BookingRaw!$F$2:$F$600,BookingRaw!$A$2:$A$600,"BKK01",BookingRaw!$B$2:$B$600,"&gt;="&amp;Control!$B$5,BookingRaw!$B$2:$B$600,"&lt;="&amp;Control!$C$5)</f>
        <v>0</v>
      </c>
      <c r="S11" s="17">
        <f ca="1">SUMIFS(BookingRaw!$G$2:$G$600,BookingRaw!$A$2:$A$600,"BKK01",BookingRaw!$B$2:$B$600,"&gt;="&amp;Control!$B$5,BookingRaw!$B$2:$B$600,"&lt;="&amp;Control!$C$5)</f>
        <v>0</v>
      </c>
      <c r="T11" s="18">
        <f ca="1">SUMIFS(BookingRaw!$H$2:$H$600,BookingRaw!$A$2:$A$600,"BKK01",BookingRaw!$B$2:$B$600,"&gt;="&amp;Control!$B$5,BookingRaw!$B$2:$B$600,"&lt;="&amp;Control!$C$5)</f>
        <v>0</v>
      </c>
      <c r="U11" s="18">
        <f ca="1">SUMIFS(BookingRaw!$I$2:$I$600,BookingRaw!$A$2:$A$600,"BKK01",BookingRaw!$B$2:$B$600,"&gt;="&amp;Control!$B$5,BookingRaw!$B$2:$B$600,"&lt;="&amp;Control!$C$5)</f>
        <v>0</v>
      </c>
      <c r="V11" s="18">
        <f ca="1">SUMIFS(BookingRaw!$J$2:$J$600,BookingRaw!$A$2:$A$600,"BKK01",BookingRaw!$B$2:$B$600,"&gt;="&amp;Control!$B$5,BookingRaw!$B$2:$B$600,"&lt;="&amp;Control!$C$5)</f>
        <v>0</v>
      </c>
      <c r="W11" s="19">
        <f ca="1">SUMIFS(BookingRaw!$K$2:$K$600,BookingRaw!$A$2:$A$600,"BKK01",BookingRaw!$B$2:$B$600,"&gt;="&amp;Control!$B$5,BookingRaw!$B$2:$B$600,"&lt;="&amp;Control!$C$5)</f>
        <v>0</v>
      </c>
      <c r="Y11" s="14">
        <f ca="1">Control!$A$5</f>
        <v>38</v>
      </c>
      <c r="Z11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AA11" s="16">
        <f ca="1">SUMIFS(BookingRaw!$C$2:$C$600,BookingRaw!$A$2:$A$600,"LCH27",BookingRaw!$B$2:$B$600,"&gt;="&amp;Control!$B$5,BookingRaw!$B$2:$B$600,"&lt;="&amp;Control!$C$5)</f>
        <v>0</v>
      </c>
      <c r="AB11" s="16">
        <f ca="1">SUMIFS(BookingRaw!$D$2:$D$600,BookingRaw!$A$2:$A$600,"LCH27",BookingRaw!$B$2:$B$600,"&gt;="&amp;Control!$B$5,BookingRaw!$B$2:$B$600,"&lt;="&amp;Control!$C$5)</f>
        <v>0</v>
      </c>
      <c r="AC11" s="16">
        <f ca="1">SUMIFS(BookingRaw!$E$2:$E$600,BookingRaw!$A$2:$A$600,"LCH27",BookingRaw!$B$2:$B$600,"&gt;="&amp;Control!$B$5,BookingRaw!$B$2:$B$600,"&lt;="&amp;Control!$C$5)</f>
        <v>0</v>
      </c>
      <c r="AD11" s="17">
        <f ca="1">SUMIFS(BookingRaw!$F$2:$F$600,BookingRaw!$A$2:$A$600,"LCH27",BookingRaw!$B$2:$B$600,"&gt;="&amp;Control!$B$5,BookingRaw!$B$2:$B$600,"&lt;="&amp;Control!$C$5)</f>
        <v>1</v>
      </c>
      <c r="AE11" s="17">
        <f ca="1">SUMIFS(BookingRaw!$G$2:$G$600,BookingRaw!$A$2:$A$600,"LCH27",BookingRaw!$B$2:$B$600,"&gt;="&amp;Control!$B$5,BookingRaw!$B$2:$B$600,"&lt;="&amp;Control!$C$5)</f>
        <v>31</v>
      </c>
      <c r="AF11" s="18">
        <f ca="1">SUMIFS(BookingRaw!$H$2:$H$600,BookingRaw!$A$2:$A$600,"LCH27",BookingRaw!$B$2:$B$600,"&gt;="&amp;Control!$B$5,BookingRaw!$B$2:$B$600,"&lt;="&amp;Control!$C$5)</f>
        <v>0</v>
      </c>
      <c r="AG11" s="18">
        <f ca="1">SUMIFS(BookingRaw!$I$2:$I$600,BookingRaw!$A$2:$A$600,"LCH27",BookingRaw!$B$2:$B$600,"&gt;="&amp;Control!$B$5,BookingRaw!$B$2:$B$600,"&lt;="&amp;Control!$C$5)</f>
        <v>0</v>
      </c>
      <c r="AH11" s="18">
        <f ca="1">SUMIFS(BookingRaw!$J$2:$J$600,BookingRaw!$A$2:$A$600,"LCH27",BookingRaw!$B$2:$B$600,"&gt;="&amp;Control!$B$5,BookingRaw!$B$2:$B$600,"&lt;="&amp;Control!$C$5)</f>
        <v>0</v>
      </c>
      <c r="AI11" s="19">
        <f ca="1">SUMIFS(BookingRaw!$K$2:$K$600,BookingRaw!$A$2:$A$600,"LCH27",BookingRaw!$B$2:$B$600,"&gt;="&amp;Control!$B$5,BookingRaw!$B$2:$B$600,"&lt;="&amp;Control!$C$5)</f>
        <v>0</v>
      </c>
    </row>
    <row r="12" spans="1:35" ht="12.95" customHeight="1" x14ac:dyDescent="0.25">
      <c r="A12" s="20"/>
      <c r="B12" s="21" t="str">
        <f ca="1">"AV Balance till "&amp;DAY(Control!$C$5)&amp;" "&amp;CHOOSE(MONTH(Control!$C$5),"Jan","Feb","Mar","Apr","May","Jun","Jul","Aug","Sep","Oct","Nov","Dec")</f>
        <v>AV Balance till 19 Sep</v>
      </c>
      <c r="C12" s="22">
        <f t="shared" ref="C12:K12" ca="1" si="3">C10-C11</f>
        <v>0</v>
      </c>
      <c r="D12" s="22">
        <f t="shared" ca="1" si="3"/>
        <v>0</v>
      </c>
      <c r="E12" s="22">
        <f t="shared" ca="1" si="3"/>
        <v>0</v>
      </c>
      <c r="F12" s="22">
        <f t="shared" ca="1" si="3"/>
        <v>0</v>
      </c>
      <c r="G12" s="22">
        <f t="shared" ca="1" si="3"/>
        <v>0</v>
      </c>
      <c r="H12" s="22">
        <f t="shared" ca="1" si="3"/>
        <v>0</v>
      </c>
      <c r="I12" s="22">
        <f t="shared" ca="1" si="3"/>
        <v>0</v>
      </c>
      <c r="J12" s="22">
        <f t="shared" ca="1" si="3"/>
        <v>0</v>
      </c>
      <c r="K12" s="23">
        <f t="shared" ca="1" si="3"/>
        <v>0</v>
      </c>
      <c r="M12" s="20"/>
      <c r="N12" s="21" t="str">
        <f ca="1">"AV Balance till "&amp;DAY(Control!$C$5)&amp;" "&amp;CHOOSE(MONTH(Control!$C$5),"Jan","Feb","Mar","Apr","May","Jun","Jul","Aug","Sep","Oct","Nov","Dec")</f>
        <v>AV Balance till 19 Sep</v>
      </c>
      <c r="O12" s="22">
        <f t="shared" ref="O12:W12" ca="1" si="4">O10-O11</f>
        <v>0</v>
      </c>
      <c r="P12" s="22">
        <f t="shared" ca="1" si="4"/>
        <v>0</v>
      </c>
      <c r="Q12" s="22">
        <f t="shared" ca="1" si="4"/>
        <v>0</v>
      </c>
      <c r="R12" s="22">
        <f t="shared" ca="1" si="4"/>
        <v>0</v>
      </c>
      <c r="S12" s="22">
        <f t="shared" ca="1" si="4"/>
        <v>0</v>
      </c>
      <c r="T12" s="22">
        <f t="shared" ca="1" si="4"/>
        <v>0</v>
      </c>
      <c r="U12" s="22">
        <f t="shared" ca="1" si="4"/>
        <v>0</v>
      </c>
      <c r="V12" s="22">
        <f t="shared" ca="1" si="4"/>
        <v>0</v>
      </c>
      <c r="W12" s="23">
        <f t="shared" ca="1" si="4"/>
        <v>0</v>
      </c>
      <c r="Y12" s="20"/>
      <c r="Z12" s="21" t="str">
        <f ca="1">"AV Balance till "&amp;DAY(Control!$C$5)&amp;" "&amp;CHOOSE(MONTH(Control!$C$5),"Jan","Feb","Mar","Apr","May","Jun","Jul","Aug","Sep","Oct","Nov","Dec")</f>
        <v>AV Balance till 19 Sep</v>
      </c>
      <c r="AA12" s="22">
        <f t="shared" ref="AA12:AI12" ca="1" si="5">AA10-AA11</f>
        <v>0</v>
      </c>
      <c r="AB12" s="22">
        <f t="shared" ca="1" si="5"/>
        <v>0</v>
      </c>
      <c r="AC12" s="22">
        <f t="shared" ca="1" si="5"/>
        <v>0</v>
      </c>
      <c r="AD12" s="22">
        <f t="shared" ca="1" si="5"/>
        <v>5</v>
      </c>
      <c r="AE12" s="22">
        <f t="shared" ca="1" si="5"/>
        <v>24</v>
      </c>
      <c r="AF12" s="22">
        <f t="shared" ca="1" si="5"/>
        <v>0</v>
      </c>
      <c r="AG12" s="22">
        <f t="shared" ca="1" si="5"/>
        <v>0</v>
      </c>
      <c r="AH12" s="22">
        <f t="shared" ca="1" si="5"/>
        <v>0</v>
      </c>
      <c r="AI12" s="23">
        <f t="shared" ca="1" si="5"/>
        <v>0</v>
      </c>
    </row>
    <row r="13" spans="1:35" ht="12.95" customHeight="1" x14ac:dyDescent="0.25">
      <c r="A13" s="14">
        <f ca="1">Control!$A$6</f>
        <v>39</v>
      </c>
      <c r="B13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C13" s="16">
        <f ca="1">SUMIFS(BookingRaw!$C$2:$C$600,BookingRaw!$A$2:$A$600,"BKK25",BookingRaw!$B$2:$B$600,"&gt;="&amp;Control!$B$6,BookingRaw!$B$2:$B$600,"&lt;="&amp;Control!$C$6)</f>
        <v>0</v>
      </c>
      <c r="D13" s="16">
        <f ca="1">SUMIFS(BookingRaw!$D$2:$D$600,BookingRaw!$A$2:$A$600,"BKK25",BookingRaw!$B$2:$B$600,"&gt;="&amp;Control!$B$6,BookingRaw!$B$2:$B$600,"&lt;="&amp;Control!$C$6)</f>
        <v>0</v>
      </c>
      <c r="E13" s="16">
        <f ca="1">SUMIFS(BookingRaw!$E$2:$E$600,BookingRaw!$A$2:$A$600,"BKK25",BookingRaw!$B$2:$B$600,"&gt;="&amp;Control!$B$6,BookingRaw!$B$2:$B$600,"&lt;="&amp;Control!$C$6)</f>
        <v>0</v>
      </c>
      <c r="F13" s="17">
        <f ca="1">SUMIFS(BookingRaw!$F$2:$F$600,BookingRaw!$A$2:$A$600,"BKK25",BookingRaw!$B$2:$B$600,"&gt;="&amp;Control!$B$6,BookingRaw!$B$2:$B$600,"&lt;="&amp;Control!$C$6)</f>
        <v>0</v>
      </c>
      <c r="G13" s="17">
        <f ca="1">SUMIFS(BookingRaw!$G$2:$G$600,BookingRaw!$A$2:$A$600,"BKK25",BookingRaw!$B$2:$B$600,"&gt;="&amp;Control!$B$6,BookingRaw!$B$2:$B$600,"&lt;="&amp;Control!$C$6)</f>
        <v>0</v>
      </c>
      <c r="H13" s="18">
        <f ca="1">SUMIFS(BookingRaw!$H$2:$H$600,BookingRaw!$A$2:$A$600,"BKK25",BookingRaw!$B$2:$B$600,"&gt;="&amp;Control!$B$6,BookingRaw!$B$2:$B$600,"&lt;="&amp;Control!$C$6)</f>
        <v>0</v>
      </c>
      <c r="I13" s="18">
        <f ca="1">SUMIFS(BookingRaw!$I$2:$I$600,BookingRaw!$A$2:$A$600,"BKK25",BookingRaw!$B$2:$B$600,"&gt;="&amp;Control!$B$6,BookingRaw!$B$2:$B$600,"&lt;="&amp;Control!$C$6)</f>
        <v>0</v>
      </c>
      <c r="J13" s="18">
        <f ca="1">SUMIFS(BookingRaw!$J$2:$J$600,BookingRaw!$A$2:$A$600,"BKK25",BookingRaw!$B$2:$B$600,"&gt;="&amp;Control!$B$6,BookingRaw!$B$2:$B$600,"&lt;="&amp;Control!$C$6)</f>
        <v>0</v>
      </c>
      <c r="K13" s="19">
        <f ca="1">SUMIFS(BookingRaw!$K$2:$K$600,BookingRaw!$A$2:$A$600,"BKK25",BookingRaw!$B$2:$B$600,"&gt;="&amp;Control!$B$6,BookingRaw!$B$2:$B$600,"&lt;="&amp;Control!$C$6)</f>
        <v>0</v>
      </c>
      <c r="M13" s="14">
        <f ca="1">Control!$A$6</f>
        <v>39</v>
      </c>
      <c r="N13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O13" s="16">
        <f ca="1">SUMIFS(BookingRaw!$C$2:$C$600,BookingRaw!$A$2:$A$600,"BKK01",BookingRaw!$B$2:$B$600,"&gt;="&amp;Control!$B$6,BookingRaw!$B$2:$B$600,"&lt;="&amp;Control!$C$6)</f>
        <v>0</v>
      </c>
      <c r="P13" s="16">
        <f ca="1">SUMIFS(BookingRaw!$D$2:$D$600,BookingRaw!$A$2:$A$600,"BKK01",BookingRaw!$B$2:$B$600,"&gt;="&amp;Control!$B$6,BookingRaw!$B$2:$B$600,"&lt;="&amp;Control!$C$6)</f>
        <v>0</v>
      </c>
      <c r="Q13" s="16">
        <f ca="1">SUMIFS(BookingRaw!$E$2:$E$600,BookingRaw!$A$2:$A$600,"BKK01",BookingRaw!$B$2:$B$600,"&gt;="&amp;Control!$B$6,BookingRaw!$B$2:$B$600,"&lt;="&amp;Control!$C$6)</f>
        <v>0</v>
      </c>
      <c r="R13" s="17">
        <f ca="1">SUMIFS(BookingRaw!$F$2:$F$600,BookingRaw!$A$2:$A$600,"BKK01",BookingRaw!$B$2:$B$600,"&gt;="&amp;Control!$B$6,BookingRaw!$B$2:$B$600,"&lt;="&amp;Control!$C$6)</f>
        <v>0</v>
      </c>
      <c r="S13" s="17">
        <f ca="1">SUMIFS(BookingRaw!$G$2:$G$600,BookingRaw!$A$2:$A$600,"BKK01",BookingRaw!$B$2:$B$600,"&gt;="&amp;Control!$B$6,BookingRaw!$B$2:$B$600,"&lt;="&amp;Control!$C$6)</f>
        <v>0</v>
      </c>
      <c r="T13" s="18">
        <f ca="1">SUMIFS(BookingRaw!$H$2:$H$600,BookingRaw!$A$2:$A$600,"BKK01",BookingRaw!$B$2:$B$600,"&gt;="&amp;Control!$B$6,BookingRaw!$B$2:$B$600,"&lt;="&amp;Control!$C$6)</f>
        <v>0</v>
      </c>
      <c r="U13" s="18">
        <f ca="1">SUMIFS(BookingRaw!$I$2:$I$600,BookingRaw!$A$2:$A$600,"BKK01",BookingRaw!$B$2:$B$600,"&gt;="&amp;Control!$B$6,BookingRaw!$B$2:$B$600,"&lt;="&amp;Control!$C$6)</f>
        <v>0</v>
      </c>
      <c r="V13" s="18">
        <f ca="1">SUMIFS(BookingRaw!$J$2:$J$600,BookingRaw!$A$2:$A$600,"BKK01",BookingRaw!$B$2:$B$600,"&gt;="&amp;Control!$B$6,BookingRaw!$B$2:$B$600,"&lt;="&amp;Control!$C$6)</f>
        <v>0</v>
      </c>
      <c r="W13" s="19">
        <f ca="1">SUMIFS(BookingRaw!$K$2:$K$600,BookingRaw!$A$2:$A$600,"BKK01",BookingRaw!$B$2:$B$600,"&gt;="&amp;Control!$B$6,BookingRaw!$B$2:$B$600,"&lt;="&amp;Control!$C$6)</f>
        <v>0</v>
      </c>
      <c r="Y13" s="14">
        <f ca="1">Control!$A$6</f>
        <v>39</v>
      </c>
      <c r="Z13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AA13" s="16">
        <f ca="1">SUMIFS(BookingRaw!$C$2:$C$600,BookingRaw!$A$2:$A$600,"LCH27",BookingRaw!$B$2:$B$600,"&gt;="&amp;Control!$B$6,BookingRaw!$B$2:$B$600,"&lt;="&amp;Control!$C$6)</f>
        <v>0</v>
      </c>
      <c r="AB13" s="16">
        <f ca="1">SUMIFS(BookingRaw!$D$2:$D$600,BookingRaw!$A$2:$A$600,"LCH27",BookingRaw!$B$2:$B$600,"&gt;="&amp;Control!$B$6,BookingRaw!$B$2:$B$600,"&lt;="&amp;Control!$C$6)</f>
        <v>0</v>
      </c>
      <c r="AC13" s="16">
        <f ca="1">SUMIFS(BookingRaw!$E$2:$E$600,BookingRaw!$A$2:$A$600,"LCH27",BookingRaw!$B$2:$B$600,"&gt;="&amp;Control!$B$6,BookingRaw!$B$2:$B$600,"&lt;="&amp;Control!$C$6)</f>
        <v>0</v>
      </c>
      <c r="AD13" s="17">
        <f ca="1">SUMIFS(BookingRaw!$F$2:$F$600,BookingRaw!$A$2:$A$600,"LCH27",BookingRaw!$B$2:$B$600,"&gt;="&amp;Control!$B$6,BookingRaw!$B$2:$B$600,"&lt;="&amp;Control!$C$6)</f>
        <v>1</v>
      </c>
      <c r="AE13" s="17">
        <f ca="1">SUMIFS(BookingRaw!$G$2:$G$600,BookingRaw!$A$2:$A$600,"LCH27",BookingRaw!$B$2:$B$600,"&gt;="&amp;Control!$B$6,BookingRaw!$B$2:$B$600,"&lt;="&amp;Control!$C$6)</f>
        <v>1</v>
      </c>
      <c r="AF13" s="18">
        <f ca="1">SUMIFS(BookingRaw!$H$2:$H$600,BookingRaw!$A$2:$A$600,"LCH27",BookingRaw!$B$2:$B$600,"&gt;="&amp;Control!$B$6,BookingRaw!$B$2:$B$600,"&lt;="&amp;Control!$C$6)</f>
        <v>0</v>
      </c>
      <c r="AG13" s="18">
        <f ca="1">SUMIFS(BookingRaw!$I$2:$I$600,BookingRaw!$A$2:$A$600,"LCH27",BookingRaw!$B$2:$B$600,"&gt;="&amp;Control!$B$6,BookingRaw!$B$2:$B$600,"&lt;="&amp;Control!$C$6)</f>
        <v>0</v>
      </c>
      <c r="AH13" s="18">
        <f ca="1">SUMIFS(BookingRaw!$J$2:$J$600,BookingRaw!$A$2:$A$600,"LCH27",BookingRaw!$B$2:$B$600,"&gt;="&amp;Control!$B$6,BookingRaw!$B$2:$B$600,"&lt;="&amp;Control!$C$6)</f>
        <v>0</v>
      </c>
      <c r="AI13" s="19">
        <f ca="1">SUMIFS(BookingRaw!$K$2:$K$600,BookingRaw!$A$2:$A$600,"LCH27",BookingRaw!$B$2:$B$600,"&gt;="&amp;Control!$B$6,BookingRaw!$B$2:$B$600,"&lt;="&amp;Control!$C$6)</f>
        <v>0</v>
      </c>
    </row>
    <row r="14" spans="1:35" ht="12.95" customHeight="1" x14ac:dyDescent="0.25">
      <c r="A14" s="20"/>
      <c r="B14" s="21" t="str">
        <f ca="1">"AV Balance till "&amp;DAY(Control!$C$6)&amp;" "&amp;CHOOSE(MONTH(Control!$C$6),"Jan","Feb","Mar","Apr","May","Jun","Jul","Aug","Sep","Oct","Nov","Dec")</f>
        <v>AV Balance till 26 Sep</v>
      </c>
      <c r="C14" s="22">
        <f t="shared" ref="C14:K14" ca="1" si="6">C12-C13</f>
        <v>0</v>
      </c>
      <c r="D14" s="22">
        <f t="shared" ca="1" si="6"/>
        <v>0</v>
      </c>
      <c r="E14" s="22">
        <f t="shared" ca="1" si="6"/>
        <v>0</v>
      </c>
      <c r="F14" s="22">
        <f t="shared" ca="1" si="6"/>
        <v>0</v>
      </c>
      <c r="G14" s="22">
        <f t="shared" ca="1" si="6"/>
        <v>0</v>
      </c>
      <c r="H14" s="22">
        <f t="shared" ca="1" si="6"/>
        <v>0</v>
      </c>
      <c r="I14" s="22">
        <f t="shared" ca="1" si="6"/>
        <v>0</v>
      </c>
      <c r="J14" s="22">
        <f t="shared" ca="1" si="6"/>
        <v>0</v>
      </c>
      <c r="K14" s="23">
        <f t="shared" ca="1" si="6"/>
        <v>0</v>
      </c>
      <c r="M14" s="20"/>
      <c r="N14" s="21" t="str">
        <f ca="1">"AV Balance till "&amp;DAY(Control!$C$6)&amp;" "&amp;CHOOSE(MONTH(Control!$C$6),"Jan","Feb","Mar","Apr","May","Jun","Jul","Aug","Sep","Oct","Nov","Dec")</f>
        <v>AV Balance till 26 Sep</v>
      </c>
      <c r="O14" s="22">
        <f t="shared" ref="O14:W14" ca="1" si="7">O12-O13</f>
        <v>0</v>
      </c>
      <c r="P14" s="22">
        <f t="shared" ca="1" si="7"/>
        <v>0</v>
      </c>
      <c r="Q14" s="22">
        <f t="shared" ca="1" si="7"/>
        <v>0</v>
      </c>
      <c r="R14" s="22">
        <f t="shared" ca="1" si="7"/>
        <v>0</v>
      </c>
      <c r="S14" s="22">
        <f t="shared" ca="1" si="7"/>
        <v>0</v>
      </c>
      <c r="T14" s="22">
        <f t="shared" ca="1" si="7"/>
        <v>0</v>
      </c>
      <c r="U14" s="22">
        <f t="shared" ca="1" si="7"/>
        <v>0</v>
      </c>
      <c r="V14" s="22">
        <f t="shared" ca="1" si="7"/>
        <v>0</v>
      </c>
      <c r="W14" s="23">
        <f t="shared" ca="1" si="7"/>
        <v>0</v>
      </c>
      <c r="Y14" s="20"/>
      <c r="Z14" s="21" t="str">
        <f ca="1">"AV Balance till "&amp;DAY(Control!$C$6)&amp;" "&amp;CHOOSE(MONTH(Control!$C$6),"Jan","Feb","Mar","Apr","May","Jun","Jul","Aug","Sep","Oct","Nov","Dec")</f>
        <v>AV Balance till 26 Sep</v>
      </c>
      <c r="AA14" s="22">
        <f t="shared" ref="AA14:AI14" ca="1" si="8">AA12-AA13</f>
        <v>0</v>
      </c>
      <c r="AB14" s="22">
        <f t="shared" ca="1" si="8"/>
        <v>0</v>
      </c>
      <c r="AC14" s="22">
        <f t="shared" ca="1" si="8"/>
        <v>0</v>
      </c>
      <c r="AD14" s="22">
        <f t="shared" ca="1" si="8"/>
        <v>4</v>
      </c>
      <c r="AE14" s="22">
        <f t="shared" ca="1" si="8"/>
        <v>23</v>
      </c>
      <c r="AF14" s="22">
        <f t="shared" ca="1" si="8"/>
        <v>0</v>
      </c>
      <c r="AG14" s="22">
        <f t="shared" ca="1" si="8"/>
        <v>0</v>
      </c>
      <c r="AH14" s="22">
        <f t="shared" ca="1" si="8"/>
        <v>0</v>
      </c>
      <c r="AI14" s="23">
        <f t="shared" ca="1" si="8"/>
        <v>0</v>
      </c>
    </row>
    <row r="15" spans="1:35" ht="12.95" customHeight="1" x14ac:dyDescent="0.25">
      <c r="A15" s="14">
        <f ca="1">Control!$A$7</f>
        <v>40</v>
      </c>
      <c r="B15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C15" s="16">
        <f ca="1">SUMIFS(BookingRaw!$C$2:$C$600,BookingRaw!$A$2:$A$600,"BKK25",BookingRaw!$B$2:$B$600,"&gt;="&amp;Control!$B$7,BookingRaw!$B$2:$B$600,"&lt;="&amp;Control!$C$7)</f>
        <v>0</v>
      </c>
      <c r="D15" s="16">
        <f ca="1">SUMIFS(BookingRaw!$D$2:$D$600,BookingRaw!$A$2:$A$600,"BKK25",BookingRaw!$B$2:$B$600,"&gt;="&amp;Control!$B$7,BookingRaw!$B$2:$B$600,"&lt;="&amp;Control!$C$7)</f>
        <v>0</v>
      </c>
      <c r="E15" s="16">
        <f ca="1">SUMIFS(BookingRaw!$E$2:$E$600,BookingRaw!$A$2:$A$600,"BKK25",BookingRaw!$B$2:$B$600,"&gt;="&amp;Control!$B$7,BookingRaw!$B$2:$B$600,"&lt;="&amp;Control!$C$7)</f>
        <v>0</v>
      </c>
      <c r="F15" s="17">
        <f ca="1">SUMIFS(BookingRaw!$F$2:$F$600,BookingRaw!$A$2:$A$600,"BKK25",BookingRaw!$B$2:$B$600,"&gt;="&amp;Control!$B$7,BookingRaw!$B$2:$B$600,"&lt;="&amp;Control!$C$7)</f>
        <v>0</v>
      </c>
      <c r="G15" s="17">
        <f ca="1">SUMIFS(BookingRaw!$G$2:$G$600,BookingRaw!$A$2:$A$600,"BKK25",BookingRaw!$B$2:$B$600,"&gt;="&amp;Control!$B$7,BookingRaw!$B$2:$B$600,"&lt;="&amp;Control!$C$7)</f>
        <v>0</v>
      </c>
      <c r="H15" s="18">
        <f ca="1">SUMIFS(BookingRaw!$H$2:$H$600,BookingRaw!$A$2:$A$600,"BKK25",BookingRaw!$B$2:$B$600,"&gt;="&amp;Control!$B$7,BookingRaw!$B$2:$B$600,"&lt;="&amp;Control!$C$7)</f>
        <v>0</v>
      </c>
      <c r="I15" s="18">
        <f ca="1">SUMIFS(BookingRaw!$I$2:$I$600,BookingRaw!$A$2:$A$600,"BKK25",BookingRaw!$B$2:$B$600,"&gt;="&amp;Control!$B$7,BookingRaw!$B$2:$B$600,"&lt;="&amp;Control!$C$7)</f>
        <v>0</v>
      </c>
      <c r="J15" s="18">
        <f ca="1">SUMIFS(BookingRaw!$J$2:$J$600,BookingRaw!$A$2:$A$600,"BKK25",BookingRaw!$B$2:$B$600,"&gt;="&amp;Control!$B$7,BookingRaw!$B$2:$B$600,"&lt;="&amp;Control!$C$7)</f>
        <v>0</v>
      </c>
      <c r="K15" s="19">
        <f ca="1">SUMIFS(BookingRaw!$K$2:$K$600,BookingRaw!$A$2:$A$600,"BKK25",BookingRaw!$B$2:$B$600,"&gt;="&amp;Control!$B$7,BookingRaw!$B$2:$B$600,"&lt;="&amp;Control!$C$7)</f>
        <v>0</v>
      </c>
      <c r="M15" s="14">
        <f ca="1">Control!$A$7</f>
        <v>40</v>
      </c>
      <c r="N15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O15" s="16">
        <f ca="1">SUMIFS(BookingRaw!$C$2:$C$600,BookingRaw!$A$2:$A$600,"BKK01",BookingRaw!$B$2:$B$600,"&gt;="&amp;Control!$B$7,BookingRaw!$B$2:$B$600,"&lt;="&amp;Control!$C$7)</f>
        <v>0</v>
      </c>
      <c r="P15" s="16">
        <f ca="1">SUMIFS(BookingRaw!$D$2:$D$600,BookingRaw!$A$2:$A$600,"BKK01",BookingRaw!$B$2:$B$600,"&gt;="&amp;Control!$B$7,BookingRaw!$B$2:$B$600,"&lt;="&amp;Control!$C$7)</f>
        <v>0</v>
      </c>
      <c r="Q15" s="16">
        <f ca="1">SUMIFS(BookingRaw!$E$2:$E$600,BookingRaw!$A$2:$A$600,"BKK01",BookingRaw!$B$2:$B$600,"&gt;="&amp;Control!$B$7,BookingRaw!$B$2:$B$600,"&lt;="&amp;Control!$C$7)</f>
        <v>0</v>
      </c>
      <c r="R15" s="17">
        <f ca="1">SUMIFS(BookingRaw!$F$2:$F$600,BookingRaw!$A$2:$A$600,"BKK01",BookingRaw!$B$2:$B$600,"&gt;="&amp;Control!$B$7,BookingRaw!$B$2:$B$600,"&lt;="&amp;Control!$C$7)</f>
        <v>0</v>
      </c>
      <c r="S15" s="17">
        <f ca="1">SUMIFS(BookingRaw!$G$2:$G$600,BookingRaw!$A$2:$A$600,"BKK01",BookingRaw!$B$2:$B$600,"&gt;="&amp;Control!$B$7,BookingRaw!$B$2:$B$600,"&lt;="&amp;Control!$C$7)</f>
        <v>0</v>
      </c>
      <c r="T15" s="18">
        <f ca="1">SUMIFS(BookingRaw!$H$2:$H$600,BookingRaw!$A$2:$A$600,"BKK01",BookingRaw!$B$2:$B$600,"&gt;="&amp;Control!$B$7,BookingRaw!$B$2:$B$600,"&lt;="&amp;Control!$C$7)</f>
        <v>0</v>
      </c>
      <c r="U15" s="18">
        <f ca="1">SUMIFS(BookingRaw!$I$2:$I$600,BookingRaw!$A$2:$A$600,"BKK01",BookingRaw!$B$2:$B$600,"&gt;="&amp;Control!$B$7,BookingRaw!$B$2:$B$600,"&lt;="&amp;Control!$C$7)</f>
        <v>0</v>
      </c>
      <c r="V15" s="18">
        <f ca="1">SUMIFS(BookingRaw!$J$2:$J$600,BookingRaw!$A$2:$A$600,"BKK01",BookingRaw!$B$2:$B$600,"&gt;="&amp;Control!$B$7,BookingRaw!$B$2:$B$600,"&lt;="&amp;Control!$C$7)</f>
        <v>0</v>
      </c>
      <c r="W15" s="19">
        <f ca="1">SUMIFS(BookingRaw!$K$2:$K$600,BookingRaw!$A$2:$A$600,"BKK01",BookingRaw!$B$2:$B$600,"&gt;="&amp;Control!$B$7,BookingRaw!$B$2:$B$600,"&lt;="&amp;Control!$C$7)</f>
        <v>0</v>
      </c>
      <c r="Y15" s="14">
        <f ca="1">Control!$A$7</f>
        <v>40</v>
      </c>
      <c r="Z15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AA15" s="16">
        <f ca="1">SUMIFS(BookingRaw!$C$2:$C$600,BookingRaw!$A$2:$A$600,"LCH27",BookingRaw!$B$2:$B$600,"&gt;="&amp;Control!$B$7,BookingRaw!$B$2:$B$600,"&lt;="&amp;Control!$C$7)</f>
        <v>0</v>
      </c>
      <c r="AB15" s="16">
        <f ca="1">SUMIFS(BookingRaw!$D$2:$D$600,BookingRaw!$A$2:$A$600,"LCH27",BookingRaw!$B$2:$B$600,"&gt;="&amp;Control!$B$7,BookingRaw!$B$2:$B$600,"&lt;="&amp;Control!$C$7)</f>
        <v>0</v>
      </c>
      <c r="AC15" s="16">
        <f ca="1">SUMIFS(BookingRaw!$E$2:$E$600,BookingRaw!$A$2:$A$600,"LCH27",BookingRaw!$B$2:$B$600,"&gt;="&amp;Control!$B$7,BookingRaw!$B$2:$B$600,"&lt;="&amp;Control!$C$7)</f>
        <v>0</v>
      </c>
      <c r="AD15" s="17">
        <f ca="1">SUMIFS(BookingRaw!$F$2:$F$600,BookingRaw!$A$2:$A$600,"LCH27",BookingRaw!$B$2:$B$600,"&gt;="&amp;Control!$B$7,BookingRaw!$B$2:$B$600,"&lt;="&amp;Control!$C$7)</f>
        <v>0</v>
      </c>
      <c r="AE15" s="17">
        <f ca="1">SUMIFS(BookingRaw!$G$2:$G$600,BookingRaw!$A$2:$A$600,"LCH27",BookingRaw!$B$2:$B$600,"&gt;="&amp;Control!$B$7,BookingRaw!$B$2:$B$600,"&lt;="&amp;Control!$C$7)</f>
        <v>0</v>
      </c>
      <c r="AF15" s="18">
        <f ca="1">SUMIFS(BookingRaw!$H$2:$H$600,BookingRaw!$A$2:$A$600,"LCH27",BookingRaw!$B$2:$B$600,"&gt;="&amp;Control!$B$7,BookingRaw!$B$2:$B$600,"&lt;="&amp;Control!$C$7)</f>
        <v>0</v>
      </c>
      <c r="AG15" s="18">
        <f ca="1">SUMIFS(BookingRaw!$I$2:$I$600,BookingRaw!$A$2:$A$600,"LCH27",BookingRaw!$B$2:$B$600,"&gt;="&amp;Control!$B$7,BookingRaw!$B$2:$B$600,"&lt;="&amp;Control!$C$7)</f>
        <v>0</v>
      </c>
      <c r="AH15" s="18">
        <f ca="1">SUMIFS(BookingRaw!$J$2:$J$600,BookingRaw!$A$2:$A$600,"LCH27",BookingRaw!$B$2:$B$600,"&gt;="&amp;Control!$B$7,BookingRaw!$B$2:$B$600,"&lt;="&amp;Control!$C$7)</f>
        <v>0</v>
      </c>
      <c r="AI15" s="19">
        <f ca="1">SUMIFS(BookingRaw!$K$2:$K$600,BookingRaw!$A$2:$A$600,"LCH27",BookingRaw!$B$2:$B$600,"&gt;="&amp;Control!$B$7,BookingRaw!$B$2:$B$600,"&lt;="&amp;Control!$C$7)</f>
        <v>0</v>
      </c>
    </row>
    <row r="16" spans="1:35" ht="12.95" customHeight="1" x14ac:dyDescent="0.25">
      <c r="A16" s="24"/>
      <c r="B16" s="25" t="str">
        <f ca="1">"AV Balance till "&amp;DAY(Control!$C$7)&amp;" "&amp;CHOOSE(MONTH(Control!$C$7),"Jan","Feb","Mar","Apr","May","Jun","Jul","Aug","Sep","Oct","Nov","Dec")</f>
        <v>AV Balance till 3 Oct</v>
      </c>
      <c r="C16" s="26">
        <f t="shared" ref="C16:K16" ca="1" si="9">C14-C15</f>
        <v>0</v>
      </c>
      <c r="D16" s="26">
        <f t="shared" ca="1" si="9"/>
        <v>0</v>
      </c>
      <c r="E16" s="26">
        <f t="shared" ca="1" si="9"/>
        <v>0</v>
      </c>
      <c r="F16" s="26">
        <f t="shared" ca="1" si="9"/>
        <v>0</v>
      </c>
      <c r="G16" s="26">
        <f t="shared" ca="1" si="9"/>
        <v>0</v>
      </c>
      <c r="H16" s="26">
        <f t="shared" ca="1" si="9"/>
        <v>0</v>
      </c>
      <c r="I16" s="26">
        <f t="shared" ca="1" si="9"/>
        <v>0</v>
      </c>
      <c r="J16" s="26">
        <f t="shared" ca="1" si="9"/>
        <v>0</v>
      </c>
      <c r="K16" s="27">
        <f t="shared" ca="1" si="9"/>
        <v>0</v>
      </c>
      <c r="M16" s="24"/>
      <c r="N16" s="25" t="str">
        <f ca="1">"AV Balance till "&amp;DAY(Control!$C$7)&amp;" "&amp;CHOOSE(MONTH(Control!$C$7),"Jan","Feb","Mar","Apr","May","Jun","Jul","Aug","Sep","Oct","Nov","Dec")</f>
        <v>AV Balance till 3 Oct</v>
      </c>
      <c r="O16" s="26">
        <f t="shared" ref="O16:W16" ca="1" si="10">O14-O15</f>
        <v>0</v>
      </c>
      <c r="P16" s="26">
        <f t="shared" ca="1" si="10"/>
        <v>0</v>
      </c>
      <c r="Q16" s="26">
        <f t="shared" ca="1" si="10"/>
        <v>0</v>
      </c>
      <c r="R16" s="26">
        <f t="shared" ca="1" si="10"/>
        <v>0</v>
      </c>
      <c r="S16" s="26">
        <f t="shared" ca="1" si="10"/>
        <v>0</v>
      </c>
      <c r="T16" s="26">
        <f t="shared" ca="1" si="10"/>
        <v>0</v>
      </c>
      <c r="U16" s="26">
        <f t="shared" ca="1" si="10"/>
        <v>0</v>
      </c>
      <c r="V16" s="26">
        <f t="shared" ca="1" si="10"/>
        <v>0</v>
      </c>
      <c r="W16" s="27">
        <f t="shared" ca="1" si="10"/>
        <v>0</v>
      </c>
      <c r="Y16" s="24"/>
      <c r="Z16" s="25" t="str">
        <f ca="1">"AV Balance till "&amp;DAY(Control!$C$7)&amp;" "&amp;CHOOSE(MONTH(Control!$C$7),"Jan","Feb","Mar","Apr","May","Jun","Jul","Aug","Sep","Oct","Nov","Dec")</f>
        <v>AV Balance till 3 Oct</v>
      </c>
      <c r="AA16" s="26">
        <f t="shared" ref="AA16:AI16" ca="1" si="11">AA14-AA15</f>
        <v>0</v>
      </c>
      <c r="AB16" s="26">
        <f t="shared" ca="1" si="11"/>
        <v>0</v>
      </c>
      <c r="AC16" s="26">
        <f t="shared" ca="1" si="11"/>
        <v>0</v>
      </c>
      <c r="AD16" s="26">
        <f t="shared" ca="1" si="11"/>
        <v>4</v>
      </c>
      <c r="AE16" s="26">
        <f t="shared" ca="1" si="11"/>
        <v>23</v>
      </c>
      <c r="AF16" s="26">
        <f t="shared" ca="1" si="11"/>
        <v>0</v>
      </c>
      <c r="AG16" s="26">
        <f t="shared" ca="1" si="11"/>
        <v>0</v>
      </c>
      <c r="AH16" s="26">
        <f t="shared" ca="1" si="11"/>
        <v>0</v>
      </c>
      <c r="AI16" s="27">
        <f t="shared" ca="1" si="11"/>
        <v>0</v>
      </c>
    </row>
    <row r="17" spans="1:35" ht="12.95" customHeight="1" x14ac:dyDescent="0.25">
      <c r="A17" s="30" t="s">
        <v>18</v>
      </c>
      <c r="B17" s="31"/>
      <c r="C17" s="31"/>
      <c r="D17" s="31"/>
      <c r="E17" s="31"/>
      <c r="F17" s="31"/>
      <c r="G17" s="31"/>
      <c r="H17" s="31"/>
      <c r="I17" s="31"/>
      <c r="J17" s="31"/>
      <c r="K17" s="32"/>
      <c r="M17" s="30" t="s">
        <v>26</v>
      </c>
      <c r="N17" s="31"/>
      <c r="O17" s="31"/>
      <c r="P17" s="31"/>
      <c r="Q17" s="31"/>
      <c r="R17" s="31"/>
      <c r="S17" s="31"/>
      <c r="T17" s="31"/>
      <c r="U17" s="31"/>
      <c r="V17" s="31"/>
      <c r="W17" s="32"/>
      <c r="Y17" s="30" t="s">
        <v>27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2"/>
    </row>
    <row r="18" spans="1:35" ht="12.95" customHeight="1" x14ac:dyDescent="0.25">
      <c r="A18" s="4" t="s">
        <v>23</v>
      </c>
      <c r="B18" s="5"/>
      <c r="C18" s="6" t="s">
        <v>8</v>
      </c>
      <c r="D18" s="6" t="s">
        <v>9</v>
      </c>
      <c r="E18" s="6" t="s">
        <v>10</v>
      </c>
      <c r="F18" s="7" t="s">
        <v>11</v>
      </c>
      <c r="G18" s="7" t="s">
        <v>12</v>
      </c>
      <c r="H18" s="8" t="s">
        <v>13</v>
      </c>
      <c r="I18" s="8" t="s">
        <v>14</v>
      </c>
      <c r="J18" s="8" t="s">
        <v>15</v>
      </c>
      <c r="K18" s="9" t="s">
        <v>16</v>
      </c>
      <c r="M18" s="4" t="s">
        <v>23</v>
      </c>
      <c r="N18" s="5"/>
      <c r="O18" s="6" t="s">
        <v>8</v>
      </c>
      <c r="P18" s="6" t="s">
        <v>9</v>
      </c>
      <c r="Q18" s="6" t="s">
        <v>10</v>
      </c>
      <c r="R18" s="7" t="s">
        <v>11</v>
      </c>
      <c r="S18" s="7" t="s">
        <v>12</v>
      </c>
      <c r="T18" s="8" t="s">
        <v>13</v>
      </c>
      <c r="U18" s="8" t="s">
        <v>14</v>
      </c>
      <c r="V18" s="8" t="s">
        <v>15</v>
      </c>
      <c r="W18" s="9" t="s">
        <v>16</v>
      </c>
      <c r="Y18" s="4" t="s">
        <v>23</v>
      </c>
      <c r="Z18" s="5"/>
      <c r="AA18" s="6" t="s">
        <v>8</v>
      </c>
      <c r="AB18" s="6" t="s">
        <v>9</v>
      </c>
      <c r="AC18" s="6" t="s">
        <v>10</v>
      </c>
      <c r="AD18" s="7" t="s">
        <v>11</v>
      </c>
      <c r="AE18" s="7" t="s">
        <v>12</v>
      </c>
      <c r="AF18" s="8" t="s">
        <v>13</v>
      </c>
      <c r="AG18" s="8" t="s">
        <v>14</v>
      </c>
      <c r="AH18" s="8" t="s">
        <v>15</v>
      </c>
      <c r="AI18" s="9" t="s">
        <v>16</v>
      </c>
    </row>
    <row r="19" spans="1:35" ht="12.95" customHeight="1" x14ac:dyDescent="0.25">
      <c r="A19" s="10"/>
      <c r="B19" s="11" t="s">
        <v>24</v>
      </c>
      <c r="C19" s="12">
        <v>0</v>
      </c>
      <c r="D19" s="12">
        <v>0</v>
      </c>
      <c r="E19" s="12">
        <v>0</v>
      </c>
      <c r="F19" s="12">
        <v>29</v>
      </c>
      <c r="G19" s="12">
        <v>35</v>
      </c>
      <c r="H19" s="12">
        <v>0</v>
      </c>
      <c r="I19" s="12">
        <v>0</v>
      </c>
      <c r="J19" s="12">
        <v>0</v>
      </c>
      <c r="K19" s="13">
        <v>0</v>
      </c>
      <c r="M19" s="10"/>
      <c r="N19" s="11" t="s">
        <v>24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3">
        <v>0</v>
      </c>
      <c r="Y19" s="10"/>
      <c r="Z19" s="11" t="s">
        <v>24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3">
        <v>0</v>
      </c>
    </row>
    <row r="20" spans="1:35" ht="12.95" customHeight="1" x14ac:dyDescent="0.25">
      <c r="A20" s="14">
        <f ca="1">Control!$A$4</f>
        <v>37</v>
      </c>
      <c r="B20" s="15" t="s">
        <v>25</v>
      </c>
      <c r="C20" s="16">
        <f ca="1">SUMIFS(BookingRaw!$C$2:$C$600,BookingRaw!$A$2:$A$600,"BKK27",BookingRaw!$B$2:$B$600,"&lt;"&amp;Control!$B$1)</f>
        <v>0</v>
      </c>
      <c r="D20" s="16">
        <f ca="1">SUMIFS(BookingRaw!$D$2:$D$600,BookingRaw!$A$2:$A$600,"BKK27",BookingRaw!$B$2:$B$600,"&lt;"&amp;Control!$B$1)</f>
        <v>0</v>
      </c>
      <c r="E20" s="16">
        <f ca="1">SUMIFS(BookingRaw!$E$2:$E$600,BookingRaw!$A$2:$A$600,"BKK27",BookingRaw!$B$2:$B$600,"&lt;"&amp;Control!$B$1)</f>
        <v>0</v>
      </c>
      <c r="F20" s="17">
        <f ca="1">SUMIFS(BookingRaw!$F$2:$F$600,BookingRaw!$A$2:$A$600,"BKK27",BookingRaw!$B$2:$B$600,"&lt;"&amp;Control!$B$1)</f>
        <v>0</v>
      </c>
      <c r="G20" s="17">
        <f ca="1">SUMIFS(BookingRaw!$G$2:$G$600,BookingRaw!$A$2:$A$600,"BKK27",BookingRaw!$B$2:$B$600,"&lt;"&amp;Control!$B$1)</f>
        <v>0</v>
      </c>
      <c r="H20" s="18">
        <f ca="1">SUMIFS(BookingRaw!$H$2:$H$600,BookingRaw!$A$2:$A$600,"BKK27",BookingRaw!$B$2:$B$600,"&lt;"&amp;Control!$B$1)</f>
        <v>0</v>
      </c>
      <c r="I20" s="18">
        <f ca="1">SUMIFS(BookingRaw!$I$2:$I$600,BookingRaw!$A$2:$A$600,"BKK27",BookingRaw!$B$2:$B$600,"&lt;"&amp;Control!$B$1)</f>
        <v>0</v>
      </c>
      <c r="J20" s="18">
        <f ca="1">SUMIFS(BookingRaw!$J$2:$J$600,BookingRaw!$A$2:$A$600,"BKK27",BookingRaw!$B$2:$B$600,"&lt;"&amp;Control!$B$1)</f>
        <v>0</v>
      </c>
      <c r="K20" s="19">
        <f ca="1">SUMIFS(BookingRaw!$K$2:$K$600,BookingRaw!$A$2:$A$600,"BKK27",BookingRaw!$B$2:$B$600,"&lt;"&amp;Control!$B$1)</f>
        <v>0</v>
      </c>
      <c r="M20" s="14">
        <f ca="1">Control!$A$4</f>
        <v>37</v>
      </c>
      <c r="N20" s="15" t="s">
        <v>25</v>
      </c>
      <c r="O20" s="16">
        <f ca="1">SUMIFS(BookingRaw!$C$2:$C$600,BookingRaw!$A$2:$A$600,"BKK02",BookingRaw!$B$2:$B$600,"&lt;"&amp;Control!$B$1)</f>
        <v>0</v>
      </c>
      <c r="P20" s="16">
        <f ca="1">SUMIFS(BookingRaw!$D$2:$D$600,BookingRaw!$A$2:$A$600,"BKK02",BookingRaw!$B$2:$B$600,"&lt;"&amp;Control!$B$1)</f>
        <v>0</v>
      </c>
      <c r="Q20" s="16">
        <f ca="1">SUMIFS(BookingRaw!$E$2:$E$600,BookingRaw!$A$2:$A$600,"BKK02",BookingRaw!$B$2:$B$600,"&lt;"&amp;Control!$B$1)</f>
        <v>0</v>
      </c>
      <c r="R20" s="17">
        <f ca="1">SUMIFS(BookingRaw!$F$2:$F$600,BookingRaw!$A$2:$A$600,"BKK02",BookingRaw!$B$2:$B$600,"&lt;"&amp;Control!$B$1)</f>
        <v>0</v>
      </c>
      <c r="S20" s="17">
        <f ca="1">SUMIFS(BookingRaw!$G$2:$G$600,BookingRaw!$A$2:$A$600,"BKK02",BookingRaw!$B$2:$B$600,"&lt;"&amp;Control!$B$1)</f>
        <v>0</v>
      </c>
      <c r="T20" s="18">
        <f ca="1">SUMIFS(BookingRaw!$H$2:$H$600,BookingRaw!$A$2:$A$600,"BKK02",BookingRaw!$B$2:$B$600,"&lt;"&amp;Control!$B$1)</f>
        <v>0</v>
      </c>
      <c r="U20" s="18">
        <f ca="1">SUMIFS(BookingRaw!$I$2:$I$600,BookingRaw!$A$2:$A$600,"BKK02",BookingRaw!$B$2:$B$600,"&lt;"&amp;Control!$B$1)</f>
        <v>0</v>
      </c>
      <c r="V20" s="18">
        <f ca="1">SUMIFS(BookingRaw!$J$2:$J$600,BookingRaw!$A$2:$A$600,"BKK02",BookingRaw!$B$2:$B$600,"&lt;"&amp;Control!$B$1)</f>
        <v>0</v>
      </c>
      <c r="W20" s="19">
        <f ca="1">SUMIFS(BookingRaw!$K$2:$K$600,BookingRaw!$A$2:$A$600,"BKK02",BookingRaw!$B$2:$B$600,"&lt;"&amp;Control!$B$1)</f>
        <v>0</v>
      </c>
      <c r="Y20" s="14">
        <f ca="1">Control!$A$4</f>
        <v>37</v>
      </c>
      <c r="Z20" s="15" t="s">
        <v>25</v>
      </c>
      <c r="AA20" s="16">
        <f ca="1">SUMIFS(BookingRaw!$C$2:$C$600,BookingRaw!$A$2:$A$600,"LCH28",BookingRaw!$B$2:$B$600,"&lt;"&amp;Control!$B$1)</f>
        <v>0</v>
      </c>
      <c r="AB20" s="16">
        <f ca="1">SUMIFS(BookingRaw!$D$2:$D$600,BookingRaw!$A$2:$A$600,"LCH28",BookingRaw!$B$2:$B$600,"&lt;"&amp;Control!$B$1)</f>
        <v>0</v>
      </c>
      <c r="AC20" s="16">
        <f ca="1">SUMIFS(BookingRaw!$E$2:$E$600,BookingRaw!$A$2:$A$600,"LCH28",BookingRaw!$B$2:$B$600,"&lt;"&amp;Control!$B$1)</f>
        <v>0</v>
      </c>
      <c r="AD20" s="17">
        <f ca="1">SUMIFS(BookingRaw!$F$2:$F$600,BookingRaw!$A$2:$A$600,"LCH28",BookingRaw!$B$2:$B$600,"&lt;"&amp;Control!$B$1)</f>
        <v>0</v>
      </c>
      <c r="AE20" s="17">
        <f ca="1">SUMIFS(BookingRaw!$G$2:$G$600,BookingRaw!$A$2:$A$600,"LCH28",BookingRaw!$B$2:$B$600,"&lt;"&amp;Control!$B$1)</f>
        <v>0</v>
      </c>
      <c r="AF20" s="18">
        <f ca="1">SUMIFS(BookingRaw!$H$2:$H$600,BookingRaw!$A$2:$A$600,"LCH28",BookingRaw!$B$2:$B$600,"&lt;"&amp;Control!$B$1)</f>
        <v>0</v>
      </c>
      <c r="AG20" s="18">
        <f ca="1">SUMIFS(BookingRaw!$I$2:$I$600,BookingRaw!$A$2:$A$600,"LCH28",BookingRaw!$B$2:$B$600,"&lt;"&amp;Control!$B$1)</f>
        <v>0</v>
      </c>
      <c r="AH20" s="18">
        <f ca="1">SUMIFS(BookingRaw!$J$2:$J$600,BookingRaw!$A$2:$A$600,"LCH28",BookingRaw!$B$2:$B$600,"&lt;"&amp;Control!$B$1)</f>
        <v>0</v>
      </c>
      <c r="AI20" s="19">
        <f ca="1">SUMIFS(BookingRaw!$K$2:$K$600,BookingRaw!$A$2:$A$600,"LCH28",BookingRaw!$B$2:$B$600,"&lt;"&amp;Control!$B$1)</f>
        <v>0</v>
      </c>
    </row>
    <row r="21" spans="1:35" ht="12.95" customHeight="1" x14ac:dyDescent="0.25">
      <c r="A21" s="14">
        <f ca="1">Control!$A$4</f>
        <v>37</v>
      </c>
      <c r="B21" s="15" t="str">
        <f ca="1">"Booking on "&amp;DAY(Control!$B$1)&amp;" "&amp;CHOOSE(MONTH(Control!$B$1),"Jan","Feb","Mar","Apr","May","Jun","Jul","Aug","Sep","Oct","Nov","Dec")</f>
        <v>Booking on 10 Sep</v>
      </c>
      <c r="C21" s="16">
        <f ca="1">SUMIFS(BookingRaw!$C$2:$C$600,BookingRaw!$A$2:$A$600,"BKK27",BookingRaw!$B$2:$B$600,"="&amp;Control!$B$1)</f>
        <v>0</v>
      </c>
      <c r="D21" s="16">
        <f ca="1">SUMIFS(BookingRaw!$D$2:$D$600,BookingRaw!$A$2:$A$600,"BKK27",BookingRaw!$B$2:$B$600,"="&amp;Control!$B$1)</f>
        <v>0</v>
      </c>
      <c r="E21" s="16">
        <f ca="1">SUMIFS(BookingRaw!$E$2:$E$600,BookingRaw!$A$2:$A$600,"BKK27",BookingRaw!$B$2:$B$600,"="&amp;Control!$B$1)</f>
        <v>0</v>
      </c>
      <c r="F21" s="17">
        <f ca="1">SUMIFS(BookingRaw!$F$2:$F$600,BookingRaw!$A$2:$A$600,"BKK27",BookingRaw!$B$2:$B$600,"="&amp;Control!$B$1)</f>
        <v>0</v>
      </c>
      <c r="G21" s="17">
        <f ca="1">SUMIFS(BookingRaw!$G$2:$G$600,BookingRaw!$A$2:$A$600,"BKK27",BookingRaw!$B$2:$B$600,"="&amp;Control!$B$1)</f>
        <v>1</v>
      </c>
      <c r="H21" s="18">
        <f ca="1">SUMIFS(BookingRaw!$H$2:$H$600,BookingRaw!$A$2:$A$600,"BKK27",BookingRaw!$B$2:$B$600,"="&amp;Control!$B$1)</f>
        <v>0</v>
      </c>
      <c r="I21" s="18">
        <f ca="1">SUMIFS(BookingRaw!$I$2:$I$600,BookingRaw!$A$2:$A$600,"BKK27",BookingRaw!$B$2:$B$600,"="&amp;Control!$B$1)</f>
        <v>0</v>
      </c>
      <c r="J21" s="18">
        <f ca="1">SUMIFS(BookingRaw!$J$2:$J$600,BookingRaw!$A$2:$A$600,"BKK27",BookingRaw!$B$2:$B$600,"="&amp;Control!$B$1)</f>
        <v>0</v>
      </c>
      <c r="K21" s="19">
        <f ca="1">SUMIFS(BookingRaw!$K$2:$K$600,BookingRaw!$A$2:$A$600,"BKK27",BookingRaw!$B$2:$B$600,"="&amp;Control!$B$1)</f>
        <v>0</v>
      </c>
      <c r="M21" s="14">
        <f ca="1">Control!$A$4</f>
        <v>37</v>
      </c>
      <c r="N21" s="15" t="str">
        <f ca="1">"Booking on "&amp;DAY(Control!$B$1)&amp;" "&amp;CHOOSE(MONTH(Control!$B$1),"Jan","Feb","Mar","Apr","May","Jun","Jul","Aug","Sep","Oct","Nov","Dec")</f>
        <v>Booking on 10 Sep</v>
      </c>
      <c r="O21" s="16">
        <f ca="1">SUMIFS(BookingRaw!$C$2:$C$600,BookingRaw!$A$2:$A$600,"BKK02",BookingRaw!$B$2:$B$600,"="&amp;Control!$B$1)</f>
        <v>0</v>
      </c>
      <c r="P21" s="16">
        <f ca="1">SUMIFS(BookingRaw!$D$2:$D$600,BookingRaw!$A$2:$A$600,"BKK02",BookingRaw!$B$2:$B$600,"="&amp;Control!$B$1)</f>
        <v>0</v>
      </c>
      <c r="Q21" s="16">
        <f ca="1">SUMIFS(BookingRaw!$E$2:$E$600,BookingRaw!$A$2:$A$600,"BKK02",BookingRaw!$B$2:$B$600,"="&amp;Control!$B$1)</f>
        <v>0</v>
      </c>
      <c r="R21" s="17">
        <f ca="1">SUMIFS(BookingRaw!$F$2:$F$600,BookingRaw!$A$2:$A$600,"BKK02",BookingRaw!$B$2:$B$600,"="&amp;Control!$B$1)</f>
        <v>0</v>
      </c>
      <c r="S21" s="17">
        <f ca="1">SUMIFS(BookingRaw!$G$2:$G$600,BookingRaw!$A$2:$A$600,"BKK02",BookingRaw!$B$2:$B$600,"="&amp;Control!$B$1)</f>
        <v>0</v>
      </c>
      <c r="T21" s="18">
        <f ca="1">SUMIFS(BookingRaw!$H$2:$H$600,BookingRaw!$A$2:$A$600,"BKK02",BookingRaw!$B$2:$B$600,"="&amp;Control!$B$1)</f>
        <v>0</v>
      </c>
      <c r="U21" s="18">
        <f ca="1">SUMIFS(BookingRaw!$I$2:$I$600,BookingRaw!$A$2:$A$600,"BKK02",BookingRaw!$B$2:$B$600,"="&amp;Control!$B$1)</f>
        <v>0</v>
      </c>
      <c r="V21" s="18">
        <f ca="1">SUMIFS(BookingRaw!$J$2:$J$600,BookingRaw!$A$2:$A$600,"BKK02",BookingRaw!$B$2:$B$600,"="&amp;Control!$B$1)</f>
        <v>0</v>
      </c>
      <c r="W21" s="19">
        <f ca="1">SUMIFS(BookingRaw!$K$2:$K$600,BookingRaw!$A$2:$A$600,"BKK02",BookingRaw!$B$2:$B$600,"="&amp;Control!$B$1)</f>
        <v>0</v>
      </c>
      <c r="Y21" s="14">
        <f ca="1">Control!$A$4</f>
        <v>37</v>
      </c>
      <c r="Z21" s="15" t="str">
        <f ca="1">"Booking on "&amp;DAY(Control!$B$1)&amp;" "&amp;CHOOSE(MONTH(Control!$B$1),"Jan","Feb","Mar","Apr","May","Jun","Jul","Aug","Sep","Oct","Nov","Dec")</f>
        <v>Booking on 10 Sep</v>
      </c>
      <c r="AA21" s="16">
        <f ca="1">SUMIFS(BookingRaw!$C$2:$C$600,BookingRaw!$A$2:$A$600,"LCH28",BookingRaw!$B$2:$B$600,"="&amp;Control!$B$1)</f>
        <v>0</v>
      </c>
      <c r="AB21" s="16">
        <f ca="1">SUMIFS(BookingRaw!$D$2:$D$600,BookingRaw!$A$2:$A$600,"LCH28",BookingRaw!$B$2:$B$600,"="&amp;Control!$B$1)</f>
        <v>0</v>
      </c>
      <c r="AC21" s="16">
        <f ca="1">SUMIFS(BookingRaw!$E$2:$E$600,BookingRaw!$A$2:$A$600,"LCH28",BookingRaw!$B$2:$B$600,"="&amp;Control!$B$1)</f>
        <v>0</v>
      </c>
      <c r="AD21" s="17">
        <f ca="1">SUMIFS(BookingRaw!$F$2:$F$600,BookingRaw!$A$2:$A$600,"LCH28",BookingRaw!$B$2:$B$600,"="&amp;Control!$B$1)</f>
        <v>0</v>
      </c>
      <c r="AE21" s="17">
        <f ca="1">SUMIFS(BookingRaw!$G$2:$G$600,BookingRaw!$A$2:$A$600,"LCH28",BookingRaw!$B$2:$B$600,"="&amp;Control!$B$1)</f>
        <v>0</v>
      </c>
      <c r="AF21" s="18">
        <f ca="1">SUMIFS(BookingRaw!$H$2:$H$600,BookingRaw!$A$2:$A$600,"LCH28",BookingRaw!$B$2:$B$600,"="&amp;Control!$B$1)</f>
        <v>0</v>
      </c>
      <c r="AG21" s="18">
        <f ca="1">SUMIFS(BookingRaw!$I$2:$I$600,BookingRaw!$A$2:$A$600,"LCH28",BookingRaw!$B$2:$B$600,"="&amp;Control!$B$1)</f>
        <v>0</v>
      </c>
      <c r="AH21" s="18">
        <f ca="1">SUMIFS(BookingRaw!$J$2:$J$600,BookingRaw!$A$2:$A$600,"LCH28",BookingRaw!$B$2:$B$600,"="&amp;Control!$B$1)</f>
        <v>0</v>
      </c>
      <c r="AI21" s="19">
        <f ca="1">SUMIFS(BookingRaw!$K$2:$K$600,BookingRaw!$A$2:$A$600,"LCH28",BookingRaw!$B$2:$B$600,"="&amp;Control!$B$1)</f>
        <v>0</v>
      </c>
    </row>
    <row r="22" spans="1:35" ht="12.95" customHeight="1" x14ac:dyDescent="0.25">
      <c r="A22" s="14">
        <f ca="1">Control!$A$4</f>
        <v>37</v>
      </c>
      <c r="B22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C22" s="16">
        <f ca="1">SUMIFS(BookingRaw!$C$2:$C$600,BookingRaw!$A$2:$A$600,"BKK27",BookingRaw!$B$2:$B$600,"&gt;="&amp;Control!$B$9,BookingRaw!$B$2:$B$600,"&lt;="&amp;Control!$C$4)</f>
        <v>0</v>
      </c>
      <c r="D22" s="16">
        <f ca="1">SUMIFS(BookingRaw!$D$2:$D$600,BookingRaw!$A$2:$A$600,"BKK27",BookingRaw!$B$2:$B$600,"&gt;="&amp;Control!$B$9,BookingRaw!$B$2:$B$600,"&lt;="&amp;Control!$C$4)</f>
        <v>0</v>
      </c>
      <c r="E22" s="16">
        <f ca="1">SUMIFS(BookingRaw!$E$2:$E$600,BookingRaw!$A$2:$A$600,"BKK27",BookingRaw!$B$2:$B$600,"&gt;="&amp;Control!$B$9,BookingRaw!$B$2:$B$600,"&lt;="&amp;Control!$C$4)</f>
        <v>0</v>
      </c>
      <c r="F22" s="17">
        <f ca="1">SUMIFS(BookingRaw!$F$2:$F$600,BookingRaw!$A$2:$A$600,"BKK27",BookingRaw!$B$2:$B$600,"&gt;="&amp;Control!$B$9,BookingRaw!$B$2:$B$600,"&lt;="&amp;Control!$C$4)</f>
        <v>0</v>
      </c>
      <c r="G22" s="17">
        <f ca="1">SUMIFS(BookingRaw!$G$2:$G$600,BookingRaw!$A$2:$A$600,"BKK27",BookingRaw!$B$2:$B$600,"&gt;="&amp;Control!$B$9,BookingRaw!$B$2:$B$600,"&lt;="&amp;Control!$C$4)</f>
        <v>5</v>
      </c>
      <c r="H22" s="18">
        <f ca="1">SUMIFS(BookingRaw!$H$2:$H$600,BookingRaw!$A$2:$A$600,"BKK27",BookingRaw!$B$2:$B$600,"&gt;="&amp;Control!$B$9,BookingRaw!$B$2:$B$600,"&lt;="&amp;Control!$C$4)</f>
        <v>0</v>
      </c>
      <c r="I22" s="18">
        <f ca="1">SUMIFS(BookingRaw!$I$2:$I$600,BookingRaw!$A$2:$A$600,"BKK27",BookingRaw!$B$2:$B$600,"&gt;="&amp;Control!$B$9,BookingRaw!$B$2:$B$600,"&lt;="&amp;Control!$C$4)</f>
        <v>0</v>
      </c>
      <c r="J22" s="18">
        <f ca="1">SUMIFS(BookingRaw!$J$2:$J$600,BookingRaw!$A$2:$A$600,"BKK27",BookingRaw!$B$2:$B$600,"&gt;="&amp;Control!$B$9,BookingRaw!$B$2:$B$600,"&lt;="&amp;Control!$C$4)</f>
        <v>0</v>
      </c>
      <c r="K22" s="19">
        <f ca="1">SUMIFS(BookingRaw!$K$2:$K$600,BookingRaw!$A$2:$A$600,"BKK27",BookingRaw!$B$2:$B$600,"&gt;="&amp;Control!$B$9,BookingRaw!$B$2:$B$600,"&lt;="&amp;Control!$C$4)</f>
        <v>0</v>
      </c>
      <c r="M22" s="14">
        <f ca="1">Control!$A$4</f>
        <v>37</v>
      </c>
      <c r="N22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O22" s="16">
        <f ca="1">SUMIFS(BookingRaw!$C$2:$C$600,BookingRaw!$A$2:$A$600,"BKK02",BookingRaw!$B$2:$B$600,"&gt;="&amp;Control!$B$9,BookingRaw!$B$2:$B$600,"&lt;="&amp;Control!$C$4)</f>
        <v>0</v>
      </c>
      <c r="P22" s="16">
        <f ca="1">SUMIFS(BookingRaw!$D$2:$D$600,BookingRaw!$A$2:$A$600,"BKK02",BookingRaw!$B$2:$B$600,"&gt;="&amp;Control!$B$9,BookingRaw!$B$2:$B$600,"&lt;="&amp;Control!$C$4)</f>
        <v>0</v>
      </c>
      <c r="Q22" s="16">
        <f ca="1">SUMIFS(BookingRaw!$E$2:$E$600,BookingRaw!$A$2:$A$600,"BKK02",BookingRaw!$B$2:$B$600,"&gt;="&amp;Control!$B$9,BookingRaw!$B$2:$B$600,"&lt;="&amp;Control!$C$4)</f>
        <v>0</v>
      </c>
      <c r="R22" s="17">
        <f ca="1">SUMIFS(BookingRaw!$F$2:$F$600,BookingRaw!$A$2:$A$600,"BKK02",BookingRaw!$B$2:$B$600,"&gt;="&amp;Control!$B$9,BookingRaw!$B$2:$B$600,"&lt;="&amp;Control!$C$4)</f>
        <v>0</v>
      </c>
      <c r="S22" s="17">
        <f ca="1">SUMIFS(BookingRaw!$G$2:$G$600,BookingRaw!$A$2:$A$600,"BKK02",BookingRaw!$B$2:$B$600,"&gt;="&amp;Control!$B$9,BookingRaw!$B$2:$B$600,"&lt;="&amp;Control!$C$4)</f>
        <v>0</v>
      </c>
      <c r="T22" s="18">
        <f ca="1">SUMIFS(BookingRaw!$H$2:$H$600,BookingRaw!$A$2:$A$600,"BKK02",BookingRaw!$B$2:$B$600,"&gt;="&amp;Control!$B$9,BookingRaw!$B$2:$B$600,"&lt;="&amp;Control!$C$4)</f>
        <v>0</v>
      </c>
      <c r="U22" s="18">
        <f ca="1">SUMIFS(BookingRaw!$I$2:$I$600,BookingRaw!$A$2:$A$600,"BKK02",BookingRaw!$B$2:$B$600,"&gt;="&amp;Control!$B$9,BookingRaw!$B$2:$B$600,"&lt;="&amp;Control!$C$4)</f>
        <v>0</v>
      </c>
      <c r="V22" s="18">
        <f ca="1">SUMIFS(BookingRaw!$J$2:$J$600,BookingRaw!$A$2:$A$600,"BKK02",BookingRaw!$B$2:$B$600,"&gt;="&amp;Control!$B$9,BookingRaw!$B$2:$B$600,"&lt;="&amp;Control!$C$4)</f>
        <v>0</v>
      </c>
      <c r="W22" s="19">
        <f ca="1">SUMIFS(BookingRaw!$K$2:$K$600,BookingRaw!$A$2:$A$600,"BKK02",BookingRaw!$B$2:$B$600,"&gt;="&amp;Control!$B$9,BookingRaw!$B$2:$B$600,"&lt;="&amp;Control!$C$4)</f>
        <v>0</v>
      </c>
      <c r="Y22" s="14">
        <f ca="1">Control!$A$4</f>
        <v>37</v>
      </c>
      <c r="Z22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AA22" s="16">
        <f ca="1">SUMIFS(BookingRaw!$C$2:$C$600,BookingRaw!$A$2:$A$600,"LCH28",BookingRaw!$B$2:$B$600,"&gt;="&amp;Control!$B$9,BookingRaw!$B$2:$B$600,"&lt;="&amp;Control!$C$4)</f>
        <v>0</v>
      </c>
      <c r="AB22" s="16">
        <f ca="1">SUMIFS(BookingRaw!$D$2:$D$600,BookingRaw!$A$2:$A$600,"LCH28",BookingRaw!$B$2:$B$600,"&gt;="&amp;Control!$B$9,BookingRaw!$B$2:$B$600,"&lt;="&amp;Control!$C$4)</f>
        <v>0</v>
      </c>
      <c r="AC22" s="16">
        <f ca="1">SUMIFS(BookingRaw!$E$2:$E$600,BookingRaw!$A$2:$A$600,"LCH28",BookingRaw!$B$2:$B$600,"&gt;="&amp;Control!$B$9,BookingRaw!$B$2:$B$600,"&lt;="&amp;Control!$C$4)</f>
        <v>0</v>
      </c>
      <c r="AD22" s="17">
        <f ca="1">SUMIFS(BookingRaw!$F$2:$F$600,BookingRaw!$A$2:$A$600,"LCH28",BookingRaw!$B$2:$B$600,"&gt;="&amp;Control!$B$9,BookingRaw!$B$2:$B$600,"&lt;="&amp;Control!$C$4)</f>
        <v>0</v>
      </c>
      <c r="AE22" s="17">
        <f ca="1">SUMIFS(BookingRaw!$G$2:$G$600,BookingRaw!$A$2:$A$600,"LCH28",BookingRaw!$B$2:$B$600,"&gt;="&amp;Control!$B$9,BookingRaw!$B$2:$B$600,"&lt;="&amp;Control!$C$4)</f>
        <v>0</v>
      </c>
      <c r="AF22" s="18">
        <f ca="1">SUMIFS(BookingRaw!$H$2:$H$600,BookingRaw!$A$2:$A$600,"LCH28",BookingRaw!$B$2:$B$600,"&gt;="&amp;Control!$B$9,BookingRaw!$B$2:$B$600,"&lt;="&amp;Control!$C$4)</f>
        <v>0</v>
      </c>
      <c r="AG22" s="18">
        <f ca="1">SUMIFS(BookingRaw!$I$2:$I$600,BookingRaw!$A$2:$A$600,"LCH28",BookingRaw!$B$2:$B$600,"&gt;="&amp;Control!$B$9,BookingRaw!$B$2:$B$600,"&lt;="&amp;Control!$C$4)</f>
        <v>0</v>
      </c>
      <c r="AH22" s="18">
        <f ca="1">SUMIFS(BookingRaw!$J$2:$J$600,BookingRaw!$A$2:$A$600,"LCH28",BookingRaw!$B$2:$B$600,"&gt;="&amp;Control!$B$9,BookingRaw!$B$2:$B$600,"&lt;="&amp;Control!$C$4)</f>
        <v>0</v>
      </c>
      <c r="AI22" s="19">
        <f ca="1">SUMIFS(BookingRaw!$K$2:$K$600,BookingRaw!$A$2:$A$600,"LCH28",BookingRaw!$B$2:$B$600,"&gt;="&amp;Control!$B$9,BookingRaw!$B$2:$B$600,"&lt;="&amp;Control!$C$4)</f>
        <v>0</v>
      </c>
    </row>
    <row r="23" spans="1:35" ht="12.95" customHeight="1" x14ac:dyDescent="0.25">
      <c r="A23" s="20"/>
      <c r="B23" s="21" t="str">
        <f ca="1">"AV Balance till "&amp;DAY(Control!$C$4)&amp;" "&amp;CHOOSE(MONTH(Control!$C$4),"Jan","Feb","Mar","Apr","May","Jun","Jul","Aug","Sep","Oct","Nov","Dec")</f>
        <v>AV Balance till 12 Sep</v>
      </c>
      <c r="C23" s="22">
        <f t="shared" ref="C23:K23" ca="1" si="12">C19-C20-C21-C22</f>
        <v>0</v>
      </c>
      <c r="D23" s="22">
        <f t="shared" ca="1" si="12"/>
        <v>0</v>
      </c>
      <c r="E23" s="22">
        <f t="shared" ca="1" si="12"/>
        <v>0</v>
      </c>
      <c r="F23" s="22">
        <f t="shared" ca="1" si="12"/>
        <v>29</v>
      </c>
      <c r="G23" s="22">
        <f t="shared" ca="1" si="12"/>
        <v>29</v>
      </c>
      <c r="H23" s="22">
        <f t="shared" ca="1" si="12"/>
        <v>0</v>
      </c>
      <c r="I23" s="22">
        <f t="shared" ca="1" si="12"/>
        <v>0</v>
      </c>
      <c r="J23" s="22">
        <f t="shared" ca="1" si="12"/>
        <v>0</v>
      </c>
      <c r="K23" s="23">
        <f t="shared" ca="1" si="12"/>
        <v>0</v>
      </c>
      <c r="M23" s="20"/>
      <c r="N23" s="21" t="str">
        <f ca="1">"AV Balance till "&amp;DAY(Control!$C$4)&amp;" "&amp;CHOOSE(MONTH(Control!$C$4),"Jan","Feb","Mar","Apr","May","Jun","Jul","Aug","Sep","Oct","Nov","Dec")</f>
        <v>AV Balance till 12 Sep</v>
      </c>
      <c r="O23" s="22">
        <f t="shared" ref="O23:W23" ca="1" si="13">O19-O20-O21-O22</f>
        <v>0</v>
      </c>
      <c r="P23" s="22">
        <f t="shared" ca="1" si="13"/>
        <v>0</v>
      </c>
      <c r="Q23" s="22">
        <f t="shared" ca="1" si="13"/>
        <v>0</v>
      </c>
      <c r="R23" s="22">
        <f t="shared" ca="1" si="13"/>
        <v>0</v>
      </c>
      <c r="S23" s="22">
        <f t="shared" ca="1" si="13"/>
        <v>0</v>
      </c>
      <c r="T23" s="22">
        <f t="shared" ca="1" si="13"/>
        <v>0</v>
      </c>
      <c r="U23" s="22">
        <f t="shared" ca="1" si="13"/>
        <v>0</v>
      </c>
      <c r="V23" s="22">
        <f t="shared" ca="1" si="13"/>
        <v>0</v>
      </c>
      <c r="W23" s="23">
        <f t="shared" ca="1" si="13"/>
        <v>0</v>
      </c>
      <c r="Y23" s="20"/>
      <c r="Z23" s="21" t="str">
        <f ca="1">"AV Balance till "&amp;DAY(Control!$C$4)&amp;" "&amp;CHOOSE(MONTH(Control!$C$4),"Jan","Feb","Mar","Apr","May","Jun","Jul","Aug","Sep","Oct","Nov","Dec")</f>
        <v>AV Balance till 12 Sep</v>
      </c>
      <c r="AA23" s="22">
        <f t="shared" ref="AA23:AI23" ca="1" si="14">AA19-AA20-AA21-AA22</f>
        <v>0</v>
      </c>
      <c r="AB23" s="22">
        <f t="shared" ca="1" si="14"/>
        <v>0</v>
      </c>
      <c r="AC23" s="22">
        <f t="shared" ca="1" si="14"/>
        <v>0</v>
      </c>
      <c r="AD23" s="22">
        <f t="shared" ca="1" si="14"/>
        <v>0</v>
      </c>
      <c r="AE23" s="22">
        <f t="shared" ca="1" si="14"/>
        <v>0</v>
      </c>
      <c r="AF23" s="22">
        <f t="shared" ca="1" si="14"/>
        <v>0</v>
      </c>
      <c r="AG23" s="22">
        <f t="shared" ca="1" si="14"/>
        <v>0</v>
      </c>
      <c r="AH23" s="22">
        <f t="shared" ca="1" si="14"/>
        <v>0</v>
      </c>
      <c r="AI23" s="23">
        <f t="shared" ca="1" si="14"/>
        <v>0</v>
      </c>
    </row>
    <row r="24" spans="1:35" ht="12.95" customHeight="1" x14ac:dyDescent="0.25">
      <c r="A24" s="14">
        <f ca="1">Control!$A$5</f>
        <v>38</v>
      </c>
      <c r="B24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C24" s="16">
        <f ca="1">SUMIFS(BookingRaw!$C$2:$C$600,BookingRaw!$A$2:$A$600,"BKK27",BookingRaw!$B$2:$B$600,"&gt;="&amp;Control!$B$5,BookingRaw!$B$2:$B$600,"&lt;="&amp;Control!$C$5)</f>
        <v>0</v>
      </c>
      <c r="D24" s="16">
        <f ca="1">SUMIFS(BookingRaw!$D$2:$D$600,BookingRaw!$A$2:$A$600,"BKK27",BookingRaw!$B$2:$B$600,"&gt;="&amp;Control!$B$5,BookingRaw!$B$2:$B$600,"&lt;="&amp;Control!$C$5)</f>
        <v>0</v>
      </c>
      <c r="E24" s="16">
        <f ca="1">SUMIFS(BookingRaw!$E$2:$E$600,BookingRaw!$A$2:$A$600,"BKK27",BookingRaw!$B$2:$B$600,"&gt;="&amp;Control!$B$5,BookingRaw!$B$2:$B$600,"&lt;="&amp;Control!$C$5)</f>
        <v>0</v>
      </c>
      <c r="F24" s="17">
        <f ca="1">SUMIFS(BookingRaw!$F$2:$F$600,BookingRaw!$A$2:$A$600,"BKK27",BookingRaw!$B$2:$B$600,"&gt;="&amp;Control!$B$5,BookingRaw!$B$2:$B$600,"&lt;="&amp;Control!$C$5)</f>
        <v>11</v>
      </c>
      <c r="G24" s="17">
        <f ca="1">SUMIFS(BookingRaw!$G$2:$G$600,BookingRaw!$A$2:$A$600,"BKK27",BookingRaw!$B$2:$B$600,"&gt;="&amp;Control!$B$5,BookingRaw!$B$2:$B$600,"&lt;="&amp;Control!$C$5)</f>
        <v>37</v>
      </c>
      <c r="H24" s="18">
        <f ca="1">SUMIFS(BookingRaw!$H$2:$H$600,BookingRaw!$A$2:$A$600,"BKK27",BookingRaw!$B$2:$B$600,"&gt;="&amp;Control!$B$5,BookingRaw!$B$2:$B$600,"&lt;="&amp;Control!$C$5)</f>
        <v>0</v>
      </c>
      <c r="I24" s="18">
        <f ca="1">SUMIFS(BookingRaw!$I$2:$I$600,BookingRaw!$A$2:$A$600,"BKK27",BookingRaw!$B$2:$B$600,"&gt;="&amp;Control!$B$5,BookingRaw!$B$2:$B$600,"&lt;="&amp;Control!$C$5)</f>
        <v>0</v>
      </c>
      <c r="J24" s="18">
        <f ca="1">SUMIFS(BookingRaw!$J$2:$J$600,BookingRaw!$A$2:$A$600,"BKK27",BookingRaw!$B$2:$B$600,"&gt;="&amp;Control!$B$5,BookingRaw!$B$2:$B$600,"&lt;="&amp;Control!$C$5)</f>
        <v>0</v>
      </c>
      <c r="K24" s="19">
        <f ca="1">SUMIFS(BookingRaw!$K$2:$K$600,BookingRaw!$A$2:$A$600,"BKK27",BookingRaw!$B$2:$B$600,"&gt;="&amp;Control!$B$5,BookingRaw!$B$2:$B$600,"&lt;="&amp;Control!$C$5)</f>
        <v>0</v>
      </c>
      <c r="M24" s="14">
        <f ca="1">Control!$A$5</f>
        <v>38</v>
      </c>
      <c r="N24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O24" s="16">
        <f ca="1">SUMIFS(BookingRaw!$C$2:$C$600,BookingRaw!$A$2:$A$600,"BKK02",BookingRaw!$B$2:$B$600,"&gt;="&amp;Control!$B$5,BookingRaw!$B$2:$B$600,"&lt;="&amp;Control!$C$5)</f>
        <v>0</v>
      </c>
      <c r="P24" s="16">
        <f ca="1">SUMIFS(BookingRaw!$D$2:$D$600,BookingRaw!$A$2:$A$600,"BKK02",BookingRaw!$B$2:$B$600,"&gt;="&amp;Control!$B$5,BookingRaw!$B$2:$B$600,"&lt;="&amp;Control!$C$5)</f>
        <v>0</v>
      </c>
      <c r="Q24" s="16">
        <f ca="1">SUMIFS(BookingRaw!$E$2:$E$600,BookingRaw!$A$2:$A$600,"BKK02",BookingRaw!$B$2:$B$600,"&gt;="&amp;Control!$B$5,BookingRaw!$B$2:$B$600,"&lt;="&amp;Control!$C$5)</f>
        <v>0</v>
      </c>
      <c r="R24" s="17">
        <f ca="1">SUMIFS(BookingRaw!$F$2:$F$600,BookingRaw!$A$2:$A$600,"BKK02",BookingRaw!$B$2:$B$600,"&gt;="&amp;Control!$B$5,BookingRaw!$B$2:$B$600,"&lt;="&amp;Control!$C$5)</f>
        <v>0</v>
      </c>
      <c r="S24" s="17">
        <f ca="1">SUMIFS(BookingRaw!$G$2:$G$600,BookingRaw!$A$2:$A$600,"BKK02",BookingRaw!$B$2:$B$600,"&gt;="&amp;Control!$B$5,BookingRaw!$B$2:$B$600,"&lt;="&amp;Control!$C$5)</f>
        <v>0</v>
      </c>
      <c r="T24" s="18">
        <f ca="1">SUMIFS(BookingRaw!$H$2:$H$600,BookingRaw!$A$2:$A$600,"BKK02",BookingRaw!$B$2:$B$600,"&gt;="&amp;Control!$B$5,BookingRaw!$B$2:$B$600,"&lt;="&amp;Control!$C$5)</f>
        <v>0</v>
      </c>
      <c r="U24" s="18">
        <f ca="1">SUMIFS(BookingRaw!$I$2:$I$600,BookingRaw!$A$2:$A$600,"BKK02",BookingRaw!$B$2:$B$600,"&gt;="&amp;Control!$B$5,BookingRaw!$B$2:$B$600,"&lt;="&amp;Control!$C$5)</f>
        <v>0</v>
      </c>
      <c r="V24" s="18">
        <f ca="1">SUMIFS(BookingRaw!$J$2:$J$600,BookingRaw!$A$2:$A$600,"BKK02",BookingRaw!$B$2:$B$600,"&gt;="&amp;Control!$B$5,BookingRaw!$B$2:$B$600,"&lt;="&amp;Control!$C$5)</f>
        <v>0</v>
      </c>
      <c r="W24" s="19">
        <f ca="1">SUMIFS(BookingRaw!$K$2:$K$600,BookingRaw!$A$2:$A$600,"BKK02",BookingRaw!$B$2:$B$600,"&gt;="&amp;Control!$B$5,BookingRaw!$B$2:$B$600,"&lt;="&amp;Control!$C$5)</f>
        <v>0</v>
      </c>
      <c r="Y24" s="14">
        <f ca="1">Control!$A$5</f>
        <v>38</v>
      </c>
      <c r="Z24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AA24" s="16">
        <f ca="1">SUMIFS(BookingRaw!$C$2:$C$600,BookingRaw!$A$2:$A$600,"LCH28",BookingRaw!$B$2:$B$600,"&gt;="&amp;Control!$B$5,BookingRaw!$B$2:$B$600,"&lt;="&amp;Control!$C$5)</f>
        <v>0</v>
      </c>
      <c r="AB24" s="16">
        <f ca="1">SUMIFS(BookingRaw!$D$2:$D$600,BookingRaw!$A$2:$A$600,"LCH28",BookingRaw!$B$2:$B$600,"&gt;="&amp;Control!$B$5,BookingRaw!$B$2:$B$600,"&lt;="&amp;Control!$C$5)</f>
        <v>0</v>
      </c>
      <c r="AC24" s="16">
        <f ca="1">SUMIFS(BookingRaw!$E$2:$E$600,BookingRaw!$A$2:$A$600,"LCH28",BookingRaw!$B$2:$B$600,"&gt;="&amp;Control!$B$5,BookingRaw!$B$2:$B$600,"&lt;="&amp;Control!$C$5)</f>
        <v>0</v>
      </c>
      <c r="AD24" s="17">
        <f ca="1">SUMIFS(BookingRaw!$F$2:$F$600,BookingRaw!$A$2:$A$600,"LCH28",BookingRaw!$B$2:$B$600,"&gt;="&amp;Control!$B$5,BookingRaw!$B$2:$B$600,"&lt;="&amp;Control!$C$5)</f>
        <v>0</v>
      </c>
      <c r="AE24" s="17">
        <f ca="1">SUMIFS(BookingRaw!$G$2:$G$600,BookingRaw!$A$2:$A$600,"LCH28",BookingRaw!$B$2:$B$600,"&gt;="&amp;Control!$B$5,BookingRaw!$B$2:$B$600,"&lt;="&amp;Control!$C$5)</f>
        <v>0</v>
      </c>
      <c r="AF24" s="18">
        <f ca="1">SUMIFS(BookingRaw!$H$2:$H$600,BookingRaw!$A$2:$A$600,"LCH28",BookingRaw!$B$2:$B$600,"&gt;="&amp;Control!$B$5,BookingRaw!$B$2:$B$600,"&lt;="&amp;Control!$C$5)</f>
        <v>0</v>
      </c>
      <c r="AG24" s="18">
        <f ca="1">SUMIFS(BookingRaw!$I$2:$I$600,BookingRaw!$A$2:$A$600,"LCH28",BookingRaw!$B$2:$B$600,"&gt;="&amp;Control!$B$5,BookingRaw!$B$2:$B$600,"&lt;="&amp;Control!$C$5)</f>
        <v>0</v>
      </c>
      <c r="AH24" s="18">
        <f ca="1">SUMIFS(BookingRaw!$J$2:$J$600,BookingRaw!$A$2:$A$600,"LCH28",BookingRaw!$B$2:$B$600,"&gt;="&amp;Control!$B$5,BookingRaw!$B$2:$B$600,"&lt;="&amp;Control!$C$5)</f>
        <v>0</v>
      </c>
      <c r="AI24" s="19">
        <f ca="1">SUMIFS(BookingRaw!$K$2:$K$600,BookingRaw!$A$2:$A$600,"LCH28",BookingRaw!$B$2:$B$600,"&gt;="&amp;Control!$B$5,BookingRaw!$B$2:$B$600,"&lt;="&amp;Control!$C$5)</f>
        <v>0</v>
      </c>
    </row>
    <row r="25" spans="1:35" ht="12.95" customHeight="1" x14ac:dyDescent="0.25">
      <c r="A25" s="20"/>
      <c r="B25" s="21" t="str">
        <f ca="1">"AV Balance till "&amp;DAY(Control!$C$5)&amp;" "&amp;CHOOSE(MONTH(Control!$C$5),"Jan","Feb","Mar","Apr","May","Jun","Jul","Aug","Sep","Oct","Nov","Dec")</f>
        <v>AV Balance till 19 Sep</v>
      </c>
      <c r="C25" s="22">
        <f t="shared" ref="C25:K25" ca="1" si="15">C23-C24</f>
        <v>0</v>
      </c>
      <c r="D25" s="22">
        <f t="shared" ca="1" si="15"/>
        <v>0</v>
      </c>
      <c r="E25" s="22">
        <f t="shared" ca="1" si="15"/>
        <v>0</v>
      </c>
      <c r="F25" s="22">
        <f t="shared" ca="1" si="15"/>
        <v>18</v>
      </c>
      <c r="G25" s="28">
        <f t="shared" ca="1" si="15"/>
        <v>-8</v>
      </c>
      <c r="H25" s="22">
        <f t="shared" ca="1" si="15"/>
        <v>0</v>
      </c>
      <c r="I25" s="22">
        <f t="shared" ca="1" si="15"/>
        <v>0</v>
      </c>
      <c r="J25" s="22">
        <f t="shared" ca="1" si="15"/>
        <v>0</v>
      </c>
      <c r="K25" s="23">
        <f t="shared" ca="1" si="15"/>
        <v>0</v>
      </c>
      <c r="M25" s="20"/>
      <c r="N25" s="21" t="str">
        <f ca="1">"AV Balance till "&amp;DAY(Control!$C$5)&amp;" "&amp;CHOOSE(MONTH(Control!$C$5),"Jan","Feb","Mar","Apr","May","Jun","Jul","Aug","Sep","Oct","Nov","Dec")</f>
        <v>AV Balance till 19 Sep</v>
      </c>
      <c r="O25" s="22">
        <f t="shared" ref="O25:W25" ca="1" si="16">O23-O24</f>
        <v>0</v>
      </c>
      <c r="P25" s="22">
        <f t="shared" ca="1" si="16"/>
        <v>0</v>
      </c>
      <c r="Q25" s="22">
        <f t="shared" ca="1" si="16"/>
        <v>0</v>
      </c>
      <c r="R25" s="22">
        <f t="shared" ca="1" si="16"/>
        <v>0</v>
      </c>
      <c r="S25" s="22">
        <f t="shared" ca="1" si="16"/>
        <v>0</v>
      </c>
      <c r="T25" s="22">
        <f t="shared" ca="1" si="16"/>
        <v>0</v>
      </c>
      <c r="U25" s="22">
        <f t="shared" ca="1" si="16"/>
        <v>0</v>
      </c>
      <c r="V25" s="22">
        <f t="shared" ca="1" si="16"/>
        <v>0</v>
      </c>
      <c r="W25" s="23">
        <f t="shared" ca="1" si="16"/>
        <v>0</v>
      </c>
      <c r="Y25" s="20"/>
      <c r="Z25" s="21" t="str">
        <f ca="1">"AV Balance till "&amp;DAY(Control!$C$5)&amp;" "&amp;CHOOSE(MONTH(Control!$C$5),"Jan","Feb","Mar","Apr","May","Jun","Jul","Aug","Sep","Oct","Nov","Dec")</f>
        <v>AV Balance till 19 Sep</v>
      </c>
      <c r="AA25" s="22">
        <f t="shared" ref="AA25:AI25" ca="1" si="17">AA23-AA24</f>
        <v>0</v>
      </c>
      <c r="AB25" s="22">
        <f t="shared" ca="1" si="17"/>
        <v>0</v>
      </c>
      <c r="AC25" s="22">
        <f t="shared" ca="1" si="17"/>
        <v>0</v>
      </c>
      <c r="AD25" s="22">
        <f t="shared" ca="1" si="17"/>
        <v>0</v>
      </c>
      <c r="AE25" s="22">
        <f t="shared" ca="1" si="17"/>
        <v>0</v>
      </c>
      <c r="AF25" s="22">
        <f t="shared" ca="1" si="17"/>
        <v>0</v>
      </c>
      <c r="AG25" s="22">
        <f t="shared" ca="1" si="17"/>
        <v>0</v>
      </c>
      <c r="AH25" s="22">
        <f t="shared" ca="1" si="17"/>
        <v>0</v>
      </c>
      <c r="AI25" s="23">
        <f t="shared" ca="1" si="17"/>
        <v>0</v>
      </c>
    </row>
    <row r="26" spans="1:35" ht="12.95" customHeight="1" x14ac:dyDescent="0.25">
      <c r="A26" s="14">
        <f ca="1">Control!$A$6</f>
        <v>39</v>
      </c>
      <c r="B26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C26" s="16">
        <f ca="1">SUMIFS(BookingRaw!$C$2:$C$600,BookingRaw!$A$2:$A$600,"BKK27",BookingRaw!$B$2:$B$600,"&gt;="&amp;Control!$B$6,BookingRaw!$B$2:$B$600,"&lt;="&amp;Control!$C$6)</f>
        <v>0</v>
      </c>
      <c r="D26" s="16">
        <f ca="1">SUMIFS(BookingRaw!$D$2:$D$600,BookingRaw!$A$2:$A$600,"BKK27",BookingRaw!$B$2:$B$600,"&gt;="&amp;Control!$B$6,BookingRaw!$B$2:$B$600,"&lt;="&amp;Control!$C$6)</f>
        <v>0</v>
      </c>
      <c r="E26" s="16">
        <f ca="1">SUMIFS(BookingRaw!$E$2:$E$600,BookingRaw!$A$2:$A$600,"BKK27",BookingRaw!$B$2:$B$600,"&gt;="&amp;Control!$B$6,BookingRaw!$B$2:$B$600,"&lt;="&amp;Control!$C$6)</f>
        <v>0</v>
      </c>
      <c r="F26" s="17">
        <f ca="1">SUMIFS(BookingRaw!$F$2:$F$600,BookingRaw!$A$2:$A$600,"BKK27",BookingRaw!$B$2:$B$600,"&gt;="&amp;Control!$B$6,BookingRaw!$B$2:$B$600,"&lt;="&amp;Control!$C$6)</f>
        <v>4</v>
      </c>
      <c r="G26" s="17">
        <f ca="1">SUMIFS(BookingRaw!$G$2:$G$600,BookingRaw!$A$2:$A$600,"BKK27",BookingRaw!$B$2:$B$600,"&gt;="&amp;Control!$B$6,BookingRaw!$B$2:$B$600,"&lt;="&amp;Control!$C$6)</f>
        <v>21</v>
      </c>
      <c r="H26" s="18">
        <f ca="1">SUMIFS(BookingRaw!$H$2:$H$600,BookingRaw!$A$2:$A$600,"BKK27",BookingRaw!$B$2:$B$600,"&gt;="&amp;Control!$B$6,BookingRaw!$B$2:$B$600,"&lt;="&amp;Control!$C$6)</f>
        <v>0</v>
      </c>
      <c r="I26" s="18">
        <f ca="1">SUMIFS(BookingRaw!$I$2:$I$600,BookingRaw!$A$2:$A$600,"BKK27",BookingRaw!$B$2:$B$600,"&gt;="&amp;Control!$B$6,BookingRaw!$B$2:$B$600,"&lt;="&amp;Control!$C$6)</f>
        <v>0</v>
      </c>
      <c r="J26" s="18">
        <f ca="1">SUMIFS(BookingRaw!$J$2:$J$600,BookingRaw!$A$2:$A$600,"BKK27",BookingRaw!$B$2:$B$600,"&gt;="&amp;Control!$B$6,BookingRaw!$B$2:$B$600,"&lt;="&amp;Control!$C$6)</f>
        <v>0</v>
      </c>
      <c r="K26" s="19">
        <f ca="1">SUMIFS(BookingRaw!$K$2:$K$600,BookingRaw!$A$2:$A$600,"BKK27",BookingRaw!$B$2:$B$600,"&gt;="&amp;Control!$B$6,BookingRaw!$B$2:$B$600,"&lt;="&amp;Control!$C$6)</f>
        <v>0</v>
      </c>
      <c r="M26" s="14">
        <f ca="1">Control!$A$6</f>
        <v>39</v>
      </c>
      <c r="N26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O26" s="16">
        <f ca="1">SUMIFS(BookingRaw!$C$2:$C$600,BookingRaw!$A$2:$A$600,"BKK02",BookingRaw!$B$2:$B$600,"&gt;="&amp;Control!$B$6,BookingRaw!$B$2:$B$600,"&lt;="&amp;Control!$C$6)</f>
        <v>0</v>
      </c>
      <c r="P26" s="16">
        <f ca="1">SUMIFS(BookingRaw!$D$2:$D$600,BookingRaw!$A$2:$A$600,"BKK02",BookingRaw!$B$2:$B$600,"&gt;="&amp;Control!$B$6,BookingRaw!$B$2:$B$600,"&lt;="&amp;Control!$C$6)</f>
        <v>0</v>
      </c>
      <c r="Q26" s="16">
        <f ca="1">SUMIFS(BookingRaw!$E$2:$E$600,BookingRaw!$A$2:$A$600,"BKK02",BookingRaw!$B$2:$B$600,"&gt;="&amp;Control!$B$6,BookingRaw!$B$2:$B$600,"&lt;="&amp;Control!$C$6)</f>
        <v>0</v>
      </c>
      <c r="R26" s="17">
        <f ca="1">SUMIFS(BookingRaw!$F$2:$F$600,BookingRaw!$A$2:$A$600,"BKK02",BookingRaw!$B$2:$B$600,"&gt;="&amp;Control!$B$6,BookingRaw!$B$2:$B$600,"&lt;="&amp;Control!$C$6)</f>
        <v>0</v>
      </c>
      <c r="S26" s="17">
        <f ca="1">SUMIFS(BookingRaw!$G$2:$G$600,BookingRaw!$A$2:$A$600,"BKK02",BookingRaw!$B$2:$B$600,"&gt;="&amp;Control!$B$6,BookingRaw!$B$2:$B$600,"&lt;="&amp;Control!$C$6)</f>
        <v>0</v>
      </c>
      <c r="T26" s="18">
        <f ca="1">SUMIFS(BookingRaw!$H$2:$H$600,BookingRaw!$A$2:$A$600,"BKK02",BookingRaw!$B$2:$B$600,"&gt;="&amp;Control!$B$6,BookingRaw!$B$2:$B$600,"&lt;="&amp;Control!$C$6)</f>
        <v>0</v>
      </c>
      <c r="U26" s="18">
        <f ca="1">SUMIFS(BookingRaw!$I$2:$I$600,BookingRaw!$A$2:$A$600,"BKK02",BookingRaw!$B$2:$B$600,"&gt;="&amp;Control!$B$6,BookingRaw!$B$2:$B$600,"&lt;="&amp;Control!$C$6)</f>
        <v>0</v>
      </c>
      <c r="V26" s="18">
        <f ca="1">SUMIFS(BookingRaw!$J$2:$J$600,BookingRaw!$A$2:$A$600,"BKK02",BookingRaw!$B$2:$B$600,"&gt;="&amp;Control!$B$6,BookingRaw!$B$2:$B$600,"&lt;="&amp;Control!$C$6)</f>
        <v>0</v>
      </c>
      <c r="W26" s="19">
        <f ca="1">SUMIFS(BookingRaw!$K$2:$K$600,BookingRaw!$A$2:$A$600,"BKK02",BookingRaw!$B$2:$B$600,"&gt;="&amp;Control!$B$6,BookingRaw!$B$2:$B$600,"&lt;="&amp;Control!$C$6)</f>
        <v>0</v>
      </c>
      <c r="Y26" s="14">
        <f ca="1">Control!$A$6</f>
        <v>39</v>
      </c>
      <c r="Z26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AA26" s="16">
        <f ca="1">SUMIFS(BookingRaw!$C$2:$C$600,BookingRaw!$A$2:$A$600,"LCH28",BookingRaw!$B$2:$B$600,"&gt;="&amp;Control!$B$6,BookingRaw!$B$2:$B$600,"&lt;="&amp;Control!$C$6)</f>
        <v>0</v>
      </c>
      <c r="AB26" s="16">
        <f ca="1">SUMIFS(BookingRaw!$D$2:$D$600,BookingRaw!$A$2:$A$600,"LCH28",BookingRaw!$B$2:$B$600,"&gt;="&amp;Control!$B$6,BookingRaw!$B$2:$B$600,"&lt;="&amp;Control!$C$6)</f>
        <v>0</v>
      </c>
      <c r="AC26" s="16">
        <f ca="1">SUMIFS(BookingRaw!$E$2:$E$600,BookingRaw!$A$2:$A$600,"LCH28",BookingRaw!$B$2:$B$600,"&gt;="&amp;Control!$B$6,BookingRaw!$B$2:$B$600,"&lt;="&amp;Control!$C$6)</f>
        <v>0</v>
      </c>
      <c r="AD26" s="17">
        <f ca="1">SUMIFS(BookingRaw!$F$2:$F$600,BookingRaw!$A$2:$A$600,"LCH28",BookingRaw!$B$2:$B$600,"&gt;="&amp;Control!$B$6,BookingRaw!$B$2:$B$600,"&lt;="&amp;Control!$C$6)</f>
        <v>0</v>
      </c>
      <c r="AE26" s="17">
        <f ca="1">SUMIFS(BookingRaw!$G$2:$G$600,BookingRaw!$A$2:$A$600,"LCH28",BookingRaw!$B$2:$B$600,"&gt;="&amp;Control!$B$6,BookingRaw!$B$2:$B$600,"&lt;="&amp;Control!$C$6)</f>
        <v>0</v>
      </c>
      <c r="AF26" s="18">
        <f ca="1">SUMIFS(BookingRaw!$H$2:$H$600,BookingRaw!$A$2:$A$600,"LCH28",BookingRaw!$B$2:$B$600,"&gt;="&amp;Control!$B$6,BookingRaw!$B$2:$B$600,"&lt;="&amp;Control!$C$6)</f>
        <v>0</v>
      </c>
      <c r="AG26" s="18">
        <f ca="1">SUMIFS(BookingRaw!$I$2:$I$600,BookingRaw!$A$2:$A$600,"LCH28",BookingRaw!$B$2:$B$600,"&gt;="&amp;Control!$B$6,BookingRaw!$B$2:$B$600,"&lt;="&amp;Control!$C$6)</f>
        <v>0</v>
      </c>
      <c r="AH26" s="18">
        <f ca="1">SUMIFS(BookingRaw!$J$2:$J$600,BookingRaw!$A$2:$A$600,"LCH28",BookingRaw!$B$2:$B$600,"&gt;="&amp;Control!$B$6,BookingRaw!$B$2:$B$600,"&lt;="&amp;Control!$C$6)</f>
        <v>0</v>
      </c>
      <c r="AI26" s="19">
        <f ca="1">SUMIFS(BookingRaw!$K$2:$K$600,BookingRaw!$A$2:$A$600,"LCH28",BookingRaw!$B$2:$B$600,"&gt;="&amp;Control!$B$6,BookingRaw!$B$2:$B$600,"&lt;="&amp;Control!$C$6)</f>
        <v>0</v>
      </c>
    </row>
    <row r="27" spans="1:35" ht="12.95" customHeight="1" x14ac:dyDescent="0.25">
      <c r="A27" s="20"/>
      <c r="B27" s="21" t="str">
        <f ca="1">"AV Balance till "&amp;DAY(Control!$C$6)&amp;" "&amp;CHOOSE(MONTH(Control!$C$6),"Jan","Feb","Mar","Apr","May","Jun","Jul","Aug","Sep","Oct","Nov","Dec")</f>
        <v>AV Balance till 26 Sep</v>
      </c>
      <c r="C27" s="22">
        <f t="shared" ref="C27:K27" ca="1" si="18">C25-C26</f>
        <v>0</v>
      </c>
      <c r="D27" s="22">
        <f t="shared" ca="1" si="18"/>
        <v>0</v>
      </c>
      <c r="E27" s="22">
        <f t="shared" ca="1" si="18"/>
        <v>0</v>
      </c>
      <c r="F27" s="22">
        <f t="shared" ca="1" si="18"/>
        <v>14</v>
      </c>
      <c r="G27" s="28">
        <f t="shared" ca="1" si="18"/>
        <v>-29</v>
      </c>
      <c r="H27" s="22">
        <f t="shared" ca="1" si="18"/>
        <v>0</v>
      </c>
      <c r="I27" s="22">
        <f t="shared" ca="1" si="18"/>
        <v>0</v>
      </c>
      <c r="J27" s="22">
        <f t="shared" ca="1" si="18"/>
        <v>0</v>
      </c>
      <c r="K27" s="23">
        <f t="shared" ca="1" si="18"/>
        <v>0</v>
      </c>
      <c r="M27" s="20"/>
      <c r="N27" s="21" t="str">
        <f ca="1">"AV Balance till "&amp;DAY(Control!$C$6)&amp;" "&amp;CHOOSE(MONTH(Control!$C$6),"Jan","Feb","Mar","Apr","May","Jun","Jul","Aug","Sep","Oct","Nov","Dec")</f>
        <v>AV Balance till 26 Sep</v>
      </c>
      <c r="O27" s="22">
        <f t="shared" ref="O27:W27" ca="1" si="19">O25-O26</f>
        <v>0</v>
      </c>
      <c r="P27" s="22">
        <f t="shared" ca="1" si="19"/>
        <v>0</v>
      </c>
      <c r="Q27" s="22">
        <f t="shared" ca="1" si="19"/>
        <v>0</v>
      </c>
      <c r="R27" s="22">
        <f t="shared" ca="1" si="19"/>
        <v>0</v>
      </c>
      <c r="S27" s="22">
        <f t="shared" ca="1" si="19"/>
        <v>0</v>
      </c>
      <c r="T27" s="22">
        <f t="shared" ca="1" si="19"/>
        <v>0</v>
      </c>
      <c r="U27" s="22">
        <f t="shared" ca="1" si="19"/>
        <v>0</v>
      </c>
      <c r="V27" s="22">
        <f t="shared" ca="1" si="19"/>
        <v>0</v>
      </c>
      <c r="W27" s="23">
        <f t="shared" ca="1" si="19"/>
        <v>0</v>
      </c>
      <c r="Y27" s="20"/>
      <c r="Z27" s="21" t="str">
        <f ca="1">"AV Balance till "&amp;DAY(Control!$C$6)&amp;" "&amp;CHOOSE(MONTH(Control!$C$6),"Jan","Feb","Mar","Apr","May","Jun","Jul","Aug","Sep","Oct","Nov","Dec")</f>
        <v>AV Balance till 26 Sep</v>
      </c>
      <c r="AA27" s="22">
        <f t="shared" ref="AA27:AI27" ca="1" si="20">AA25-AA26</f>
        <v>0</v>
      </c>
      <c r="AB27" s="22">
        <f t="shared" ca="1" si="20"/>
        <v>0</v>
      </c>
      <c r="AC27" s="22">
        <f t="shared" ca="1" si="20"/>
        <v>0</v>
      </c>
      <c r="AD27" s="22">
        <f t="shared" ca="1" si="20"/>
        <v>0</v>
      </c>
      <c r="AE27" s="22">
        <f t="shared" ca="1" si="20"/>
        <v>0</v>
      </c>
      <c r="AF27" s="22">
        <f t="shared" ca="1" si="20"/>
        <v>0</v>
      </c>
      <c r="AG27" s="22">
        <f t="shared" ca="1" si="20"/>
        <v>0</v>
      </c>
      <c r="AH27" s="22">
        <f t="shared" ca="1" si="20"/>
        <v>0</v>
      </c>
      <c r="AI27" s="23">
        <f t="shared" ca="1" si="20"/>
        <v>0</v>
      </c>
    </row>
    <row r="28" spans="1:35" ht="12.95" customHeight="1" x14ac:dyDescent="0.25">
      <c r="A28" s="14">
        <f ca="1">Control!$A$7</f>
        <v>40</v>
      </c>
      <c r="B28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C28" s="16">
        <f ca="1">SUMIFS(BookingRaw!$C$2:$C$600,BookingRaw!$A$2:$A$600,"BKK27",BookingRaw!$B$2:$B$600,"&gt;="&amp;Control!$B$7,BookingRaw!$B$2:$B$600,"&lt;="&amp;Control!$C$7)</f>
        <v>0</v>
      </c>
      <c r="D28" s="16">
        <f ca="1">SUMIFS(BookingRaw!$D$2:$D$600,BookingRaw!$A$2:$A$600,"BKK27",BookingRaw!$B$2:$B$600,"&gt;="&amp;Control!$B$7,BookingRaw!$B$2:$B$600,"&lt;="&amp;Control!$C$7)</f>
        <v>0</v>
      </c>
      <c r="E28" s="16">
        <f ca="1">SUMIFS(BookingRaw!$E$2:$E$600,BookingRaw!$A$2:$A$600,"BKK27",BookingRaw!$B$2:$B$600,"&gt;="&amp;Control!$B$7,BookingRaw!$B$2:$B$600,"&lt;="&amp;Control!$C$7)</f>
        <v>0</v>
      </c>
      <c r="F28" s="17">
        <f ca="1">SUMIFS(BookingRaw!$F$2:$F$600,BookingRaw!$A$2:$A$600,"BKK27",BookingRaw!$B$2:$B$600,"&gt;="&amp;Control!$B$7,BookingRaw!$B$2:$B$600,"&lt;="&amp;Control!$C$7)</f>
        <v>0</v>
      </c>
      <c r="G28" s="17">
        <f ca="1">SUMIFS(BookingRaw!$G$2:$G$600,BookingRaw!$A$2:$A$600,"BKK27",BookingRaw!$B$2:$B$600,"&gt;="&amp;Control!$B$7,BookingRaw!$B$2:$B$600,"&lt;="&amp;Control!$C$7)</f>
        <v>0</v>
      </c>
      <c r="H28" s="18">
        <f ca="1">SUMIFS(BookingRaw!$H$2:$H$600,BookingRaw!$A$2:$A$600,"BKK27",BookingRaw!$B$2:$B$600,"&gt;="&amp;Control!$B$7,BookingRaw!$B$2:$B$600,"&lt;="&amp;Control!$C$7)</f>
        <v>0</v>
      </c>
      <c r="I28" s="18">
        <f ca="1">SUMIFS(BookingRaw!$I$2:$I$600,BookingRaw!$A$2:$A$600,"BKK27",BookingRaw!$B$2:$B$600,"&gt;="&amp;Control!$B$7,BookingRaw!$B$2:$B$600,"&lt;="&amp;Control!$C$7)</f>
        <v>0</v>
      </c>
      <c r="J28" s="18">
        <f ca="1">SUMIFS(BookingRaw!$J$2:$J$600,BookingRaw!$A$2:$A$600,"BKK27",BookingRaw!$B$2:$B$600,"&gt;="&amp;Control!$B$7,BookingRaw!$B$2:$B$600,"&lt;="&amp;Control!$C$7)</f>
        <v>0</v>
      </c>
      <c r="K28" s="19">
        <f ca="1">SUMIFS(BookingRaw!$K$2:$K$600,BookingRaw!$A$2:$A$600,"BKK27",BookingRaw!$B$2:$B$600,"&gt;="&amp;Control!$B$7,BookingRaw!$B$2:$B$600,"&lt;="&amp;Control!$C$7)</f>
        <v>0</v>
      </c>
      <c r="M28" s="14">
        <f ca="1">Control!$A$7</f>
        <v>40</v>
      </c>
      <c r="N28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O28" s="16">
        <f ca="1">SUMIFS(BookingRaw!$C$2:$C$600,BookingRaw!$A$2:$A$600,"BKK02",BookingRaw!$B$2:$B$600,"&gt;="&amp;Control!$B$7,BookingRaw!$B$2:$B$600,"&lt;="&amp;Control!$C$7)</f>
        <v>0</v>
      </c>
      <c r="P28" s="16">
        <f ca="1">SUMIFS(BookingRaw!$D$2:$D$600,BookingRaw!$A$2:$A$600,"BKK02",BookingRaw!$B$2:$B$600,"&gt;="&amp;Control!$B$7,BookingRaw!$B$2:$B$600,"&lt;="&amp;Control!$C$7)</f>
        <v>0</v>
      </c>
      <c r="Q28" s="16">
        <f ca="1">SUMIFS(BookingRaw!$E$2:$E$600,BookingRaw!$A$2:$A$600,"BKK02",BookingRaw!$B$2:$B$600,"&gt;="&amp;Control!$B$7,BookingRaw!$B$2:$B$600,"&lt;="&amp;Control!$C$7)</f>
        <v>0</v>
      </c>
      <c r="R28" s="17">
        <f ca="1">SUMIFS(BookingRaw!$F$2:$F$600,BookingRaw!$A$2:$A$600,"BKK02",BookingRaw!$B$2:$B$600,"&gt;="&amp;Control!$B$7,BookingRaw!$B$2:$B$600,"&lt;="&amp;Control!$C$7)</f>
        <v>0</v>
      </c>
      <c r="S28" s="17">
        <f ca="1">SUMIFS(BookingRaw!$G$2:$G$600,BookingRaw!$A$2:$A$600,"BKK02",BookingRaw!$B$2:$B$600,"&gt;="&amp;Control!$B$7,BookingRaw!$B$2:$B$600,"&lt;="&amp;Control!$C$7)</f>
        <v>0</v>
      </c>
      <c r="T28" s="18">
        <f ca="1">SUMIFS(BookingRaw!$H$2:$H$600,BookingRaw!$A$2:$A$600,"BKK02",BookingRaw!$B$2:$B$600,"&gt;="&amp;Control!$B$7,BookingRaw!$B$2:$B$600,"&lt;="&amp;Control!$C$7)</f>
        <v>0</v>
      </c>
      <c r="U28" s="18">
        <f ca="1">SUMIFS(BookingRaw!$I$2:$I$600,BookingRaw!$A$2:$A$600,"BKK02",BookingRaw!$B$2:$B$600,"&gt;="&amp;Control!$B$7,BookingRaw!$B$2:$B$600,"&lt;="&amp;Control!$C$7)</f>
        <v>0</v>
      </c>
      <c r="V28" s="18">
        <f ca="1">SUMIFS(BookingRaw!$J$2:$J$600,BookingRaw!$A$2:$A$600,"BKK02",BookingRaw!$B$2:$B$600,"&gt;="&amp;Control!$B$7,BookingRaw!$B$2:$B$600,"&lt;="&amp;Control!$C$7)</f>
        <v>0</v>
      </c>
      <c r="W28" s="19">
        <f ca="1">SUMIFS(BookingRaw!$K$2:$K$600,BookingRaw!$A$2:$A$600,"BKK02",BookingRaw!$B$2:$B$600,"&gt;="&amp;Control!$B$7,BookingRaw!$B$2:$B$600,"&lt;="&amp;Control!$C$7)</f>
        <v>0</v>
      </c>
      <c r="Y28" s="14">
        <f ca="1">Control!$A$7</f>
        <v>40</v>
      </c>
      <c r="Z28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AA28" s="16">
        <f ca="1">SUMIFS(BookingRaw!$C$2:$C$600,BookingRaw!$A$2:$A$600,"LCH28",BookingRaw!$B$2:$B$600,"&gt;="&amp;Control!$B$7,BookingRaw!$B$2:$B$600,"&lt;="&amp;Control!$C$7)</f>
        <v>0</v>
      </c>
      <c r="AB28" s="16">
        <f ca="1">SUMIFS(BookingRaw!$D$2:$D$600,BookingRaw!$A$2:$A$600,"LCH28",BookingRaw!$B$2:$B$600,"&gt;="&amp;Control!$B$7,BookingRaw!$B$2:$B$600,"&lt;="&amp;Control!$C$7)</f>
        <v>0</v>
      </c>
      <c r="AC28" s="16">
        <f ca="1">SUMIFS(BookingRaw!$E$2:$E$600,BookingRaw!$A$2:$A$600,"LCH28",BookingRaw!$B$2:$B$600,"&gt;="&amp;Control!$B$7,BookingRaw!$B$2:$B$600,"&lt;="&amp;Control!$C$7)</f>
        <v>0</v>
      </c>
      <c r="AD28" s="17">
        <f ca="1">SUMIFS(BookingRaw!$F$2:$F$600,BookingRaw!$A$2:$A$600,"LCH28",BookingRaw!$B$2:$B$600,"&gt;="&amp;Control!$B$7,BookingRaw!$B$2:$B$600,"&lt;="&amp;Control!$C$7)</f>
        <v>0</v>
      </c>
      <c r="AE28" s="17">
        <f ca="1">SUMIFS(BookingRaw!$G$2:$G$600,BookingRaw!$A$2:$A$600,"LCH28",BookingRaw!$B$2:$B$600,"&gt;="&amp;Control!$B$7,BookingRaw!$B$2:$B$600,"&lt;="&amp;Control!$C$7)</f>
        <v>0</v>
      </c>
      <c r="AF28" s="18">
        <f ca="1">SUMIFS(BookingRaw!$H$2:$H$600,BookingRaw!$A$2:$A$600,"LCH28",BookingRaw!$B$2:$B$600,"&gt;="&amp;Control!$B$7,BookingRaw!$B$2:$B$600,"&lt;="&amp;Control!$C$7)</f>
        <v>0</v>
      </c>
      <c r="AG28" s="18">
        <f ca="1">SUMIFS(BookingRaw!$I$2:$I$600,BookingRaw!$A$2:$A$600,"LCH28",BookingRaw!$B$2:$B$600,"&gt;="&amp;Control!$B$7,BookingRaw!$B$2:$B$600,"&lt;="&amp;Control!$C$7)</f>
        <v>0</v>
      </c>
      <c r="AH28" s="18">
        <f ca="1">SUMIFS(BookingRaw!$J$2:$J$600,BookingRaw!$A$2:$A$600,"LCH28",BookingRaw!$B$2:$B$600,"&gt;="&amp;Control!$B$7,BookingRaw!$B$2:$B$600,"&lt;="&amp;Control!$C$7)</f>
        <v>0</v>
      </c>
      <c r="AI28" s="19">
        <f ca="1">SUMIFS(BookingRaw!$K$2:$K$600,BookingRaw!$A$2:$A$600,"LCH28",BookingRaw!$B$2:$B$600,"&gt;="&amp;Control!$B$7,BookingRaw!$B$2:$B$600,"&lt;="&amp;Control!$C$7)</f>
        <v>0</v>
      </c>
    </row>
    <row r="29" spans="1:35" ht="12.95" customHeight="1" x14ac:dyDescent="0.25">
      <c r="A29" s="24"/>
      <c r="B29" s="25" t="str">
        <f ca="1">"AV Balance till "&amp;DAY(Control!$C$7)&amp;" "&amp;CHOOSE(MONTH(Control!$C$7),"Jan","Feb","Mar","Apr","May","Jun","Jul","Aug","Sep","Oct","Nov","Dec")</f>
        <v>AV Balance till 3 Oct</v>
      </c>
      <c r="C29" s="26">
        <f t="shared" ref="C29:K29" ca="1" si="21">C27-C28</f>
        <v>0</v>
      </c>
      <c r="D29" s="26">
        <f t="shared" ca="1" si="21"/>
        <v>0</v>
      </c>
      <c r="E29" s="26">
        <f t="shared" ca="1" si="21"/>
        <v>0</v>
      </c>
      <c r="F29" s="26">
        <f t="shared" ca="1" si="21"/>
        <v>14</v>
      </c>
      <c r="G29" s="29">
        <f t="shared" ca="1" si="21"/>
        <v>-29</v>
      </c>
      <c r="H29" s="26">
        <f t="shared" ca="1" si="21"/>
        <v>0</v>
      </c>
      <c r="I29" s="26">
        <f t="shared" ca="1" si="21"/>
        <v>0</v>
      </c>
      <c r="J29" s="26">
        <f t="shared" ca="1" si="21"/>
        <v>0</v>
      </c>
      <c r="K29" s="27">
        <f t="shared" ca="1" si="21"/>
        <v>0</v>
      </c>
      <c r="M29" s="24"/>
      <c r="N29" s="25" t="str">
        <f ca="1">"AV Balance till "&amp;DAY(Control!$C$7)&amp;" "&amp;CHOOSE(MONTH(Control!$C$7),"Jan","Feb","Mar","Apr","May","Jun","Jul","Aug","Sep","Oct","Nov","Dec")</f>
        <v>AV Balance till 3 Oct</v>
      </c>
      <c r="O29" s="26">
        <f t="shared" ref="O29:W29" ca="1" si="22">O27-O28</f>
        <v>0</v>
      </c>
      <c r="P29" s="26">
        <f t="shared" ca="1" si="22"/>
        <v>0</v>
      </c>
      <c r="Q29" s="26">
        <f t="shared" ca="1" si="22"/>
        <v>0</v>
      </c>
      <c r="R29" s="26">
        <f t="shared" ca="1" si="22"/>
        <v>0</v>
      </c>
      <c r="S29" s="26">
        <f t="shared" ca="1" si="22"/>
        <v>0</v>
      </c>
      <c r="T29" s="26">
        <f t="shared" ca="1" si="22"/>
        <v>0</v>
      </c>
      <c r="U29" s="26">
        <f t="shared" ca="1" si="22"/>
        <v>0</v>
      </c>
      <c r="V29" s="26">
        <f t="shared" ca="1" si="22"/>
        <v>0</v>
      </c>
      <c r="W29" s="27">
        <f t="shared" ca="1" si="22"/>
        <v>0</v>
      </c>
      <c r="Y29" s="24"/>
      <c r="Z29" s="25" t="str">
        <f ca="1">"AV Balance till "&amp;DAY(Control!$C$7)&amp;" "&amp;CHOOSE(MONTH(Control!$C$7),"Jan","Feb","Mar","Apr","May","Jun","Jul","Aug","Sep","Oct","Nov","Dec")</f>
        <v>AV Balance till 3 Oct</v>
      </c>
      <c r="AA29" s="26">
        <f t="shared" ref="AA29:AI29" ca="1" si="23">AA27-AA28</f>
        <v>0</v>
      </c>
      <c r="AB29" s="26">
        <f t="shared" ca="1" si="23"/>
        <v>0</v>
      </c>
      <c r="AC29" s="26">
        <f t="shared" ca="1" si="23"/>
        <v>0</v>
      </c>
      <c r="AD29" s="26">
        <f t="shared" ca="1" si="23"/>
        <v>0</v>
      </c>
      <c r="AE29" s="26">
        <f t="shared" ca="1" si="23"/>
        <v>0</v>
      </c>
      <c r="AF29" s="26">
        <f t="shared" ca="1" si="23"/>
        <v>0</v>
      </c>
      <c r="AG29" s="26">
        <f t="shared" ca="1" si="23"/>
        <v>0</v>
      </c>
      <c r="AH29" s="26">
        <f t="shared" ca="1" si="23"/>
        <v>0</v>
      </c>
      <c r="AI29" s="27">
        <f t="shared" ca="1" si="23"/>
        <v>0</v>
      </c>
    </row>
    <row r="30" spans="1:35" ht="12.95" customHeight="1" x14ac:dyDescent="0.25">
      <c r="M30" s="30" t="s">
        <v>28</v>
      </c>
      <c r="N30" s="31"/>
      <c r="O30" s="31"/>
      <c r="P30" s="31"/>
      <c r="Q30" s="31"/>
      <c r="R30" s="31"/>
      <c r="S30" s="31"/>
      <c r="T30" s="31"/>
      <c r="U30" s="31"/>
      <c r="V30" s="31"/>
      <c r="W30" s="32"/>
      <c r="Y30" s="30" t="s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2"/>
    </row>
    <row r="31" spans="1:35" ht="12.95" customHeight="1" x14ac:dyDescent="0.25">
      <c r="M31" s="4" t="s">
        <v>23</v>
      </c>
      <c r="N31" s="5"/>
      <c r="O31" s="6" t="s">
        <v>8</v>
      </c>
      <c r="P31" s="6" t="s">
        <v>9</v>
      </c>
      <c r="Q31" s="6" t="s">
        <v>10</v>
      </c>
      <c r="R31" s="7" t="s">
        <v>11</v>
      </c>
      <c r="S31" s="7" t="s">
        <v>12</v>
      </c>
      <c r="T31" s="8" t="s">
        <v>13</v>
      </c>
      <c r="U31" s="8" t="s">
        <v>14</v>
      </c>
      <c r="V31" s="8" t="s">
        <v>15</v>
      </c>
      <c r="W31" s="9" t="s">
        <v>16</v>
      </c>
      <c r="Y31" s="4" t="s">
        <v>23</v>
      </c>
      <c r="Z31" s="5"/>
      <c r="AA31" s="6" t="s">
        <v>8</v>
      </c>
      <c r="AB31" s="6" t="s">
        <v>9</v>
      </c>
      <c r="AC31" s="6" t="s">
        <v>10</v>
      </c>
      <c r="AD31" s="7" t="s">
        <v>11</v>
      </c>
      <c r="AE31" s="7" t="s">
        <v>12</v>
      </c>
      <c r="AF31" s="8" t="s">
        <v>13</v>
      </c>
      <c r="AG31" s="8" t="s">
        <v>14</v>
      </c>
      <c r="AH31" s="8" t="s">
        <v>15</v>
      </c>
      <c r="AI31" s="9" t="s">
        <v>16</v>
      </c>
    </row>
    <row r="32" spans="1:35" ht="12.95" customHeight="1" x14ac:dyDescent="0.25">
      <c r="M32" s="10"/>
      <c r="N32" s="11" t="s">
        <v>24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3">
        <v>0</v>
      </c>
      <c r="Y32" s="10"/>
      <c r="Z32" s="11" t="s">
        <v>24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3">
        <v>0</v>
      </c>
    </row>
    <row r="33" spans="13:35" ht="12.95" customHeight="1" x14ac:dyDescent="0.25">
      <c r="M33" s="14">
        <f ca="1">Control!$A$4</f>
        <v>37</v>
      </c>
      <c r="N33" s="15" t="s">
        <v>25</v>
      </c>
      <c r="O33" s="16">
        <f ca="1">SUMIFS(BookingRaw!$C$2:$C$600,BookingRaw!$A$2:$A$600,"LCH55",BookingRaw!$B$2:$B$600,"&lt;"&amp;Control!$B$1)</f>
        <v>0</v>
      </c>
      <c r="P33" s="16">
        <f ca="1">SUMIFS(BookingRaw!$D$2:$D$600,BookingRaw!$A$2:$A$600,"LCH55",BookingRaw!$B$2:$B$600,"&lt;"&amp;Control!$B$1)</f>
        <v>0</v>
      </c>
      <c r="Q33" s="16">
        <f ca="1">SUMIFS(BookingRaw!$E$2:$E$600,BookingRaw!$A$2:$A$600,"LCH55",BookingRaw!$B$2:$B$600,"&lt;"&amp;Control!$B$1)</f>
        <v>0</v>
      </c>
      <c r="R33" s="17">
        <f ca="1">SUMIFS(BookingRaw!$F$2:$F$600,BookingRaw!$A$2:$A$600,"LCH55",BookingRaw!$B$2:$B$600,"&lt;"&amp;Control!$B$1)</f>
        <v>0</v>
      </c>
      <c r="S33" s="17">
        <f ca="1">SUMIFS(BookingRaw!$G$2:$G$600,BookingRaw!$A$2:$A$600,"LCH55",BookingRaw!$B$2:$B$600,"&lt;"&amp;Control!$B$1)</f>
        <v>0</v>
      </c>
      <c r="T33" s="18">
        <f ca="1">SUMIFS(BookingRaw!$H$2:$H$600,BookingRaw!$A$2:$A$600,"LCH55",BookingRaw!$B$2:$B$600,"&lt;"&amp;Control!$B$1)</f>
        <v>0</v>
      </c>
      <c r="U33" s="18">
        <f ca="1">SUMIFS(BookingRaw!$I$2:$I$600,BookingRaw!$A$2:$A$600,"LCH55",BookingRaw!$B$2:$B$600,"&lt;"&amp;Control!$B$1)</f>
        <v>0</v>
      </c>
      <c r="V33" s="18">
        <f ca="1">SUMIFS(BookingRaw!$J$2:$J$600,BookingRaw!$A$2:$A$600,"LCH55",BookingRaw!$B$2:$B$600,"&lt;"&amp;Control!$B$1)</f>
        <v>0</v>
      </c>
      <c r="W33" s="19">
        <f ca="1">SUMIFS(BookingRaw!$K$2:$K$600,BookingRaw!$A$2:$A$600,"LCH55",BookingRaw!$B$2:$B$600,"&lt;"&amp;Control!$B$1)</f>
        <v>0</v>
      </c>
      <c r="Y33" s="14">
        <f ca="1">Control!$A$4</f>
        <v>37</v>
      </c>
      <c r="Z33" s="15" t="s">
        <v>25</v>
      </c>
      <c r="AA33" s="16">
        <f ca="1">SUMIFS(BookingRaw!$C$2:$C$600,BookingRaw!$A$2:$A$600,"LCHY5",BookingRaw!$B$2:$B$600,"&lt;"&amp;Control!$B$1)</f>
        <v>0</v>
      </c>
      <c r="AB33" s="16">
        <f ca="1">SUMIFS(BookingRaw!$D$2:$D$600,BookingRaw!$A$2:$A$600,"LCHY5",BookingRaw!$B$2:$B$600,"&lt;"&amp;Control!$B$1)</f>
        <v>0</v>
      </c>
      <c r="AC33" s="16">
        <f ca="1">SUMIFS(BookingRaw!$E$2:$E$600,BookingRaw!$A$2:$A$600,"LCHY5",BookingRaw!$B$2:$B$600,"&lt;"&amp;Control!$B$1)</f>
        <v>0</v>
      </c>
      <c r="AD33" s="17">
        <f ca="1">SUMIFS(BookingRaw!$F$2:$F$600,BookingRaw!$A$2:$A$600,"LCHY5",BookingRaw!$B$2:$B$600,"&lt;"&amp;Control!$B$1)</f>
        <v>0</v>
      </c>
      <c r="AE33" s="17">
        <f ca="1">SUMIFS(BookingRaw!$G$2:$G$600,BookingRaw!$A$2:$A$600,"LCHY5",BookingRaw!$B$2:$B$600,"&lt;"&amp;Control!$B$1)</f>
        <v>0</v>
      </c>
      <c r="AF33" s="18">
        <f ca="1">SUMIFS(BookingRaw!$H$2:$H$600,BookingRaw!$A$2:$A$600,"LCHY5",BookingRaw!$B$2:$B$600,"&lt;"&amp;Control!$B$1)</f>
        <v>0</v>
      </c>
      <c r="AG33" s="18">
        <f ca="1">SUMIFS(BookingRaw!$I$2:$I$600,BookingRaw!$A$2:$A$600,"LCHY5",BookingRaw!$B$2:$B$600,"&lt;"&amp;Control!$B$1)</f>
        <v>0</v>
      </c>
      <c r="AH33" s="18">
        <f ca="1">SUMIFS(BookingRaw!$J$2:$J$600,BookingRaw!$A$2:$A$600,"LCHY5",BookingRaw!$B$2:$B$600,"&lt;"&amp;Control!$B$1)</f>
        <v>0</v>
      </c>
      <c r="AI33" s="19">
        <f ca="1">SUMIFS(BookingRaw!$K$2:$K$600,BookingRaw!$A$2:$A$600,"LCHY5",BookingRaw!$B$2:$B$600,"&lt;"&amp;Control!$B$1)</f>
        <v>0</v>
      </c>
    </row>
    <row r="34" spans="13:35" ht="12.95" customHeight="1" x14ac:dyDescent="0.25">
      <c r="M34" s="14">
        <f ca="1">Control!$A$4</f>
        <v>37</v>
      </c>
      <c r="N34" s="15" t="str">
        <f ca="1">"Booking on "&amp;DAY(Control!$B$1)&amp;" "&amp;CHOOSE(MONTH(Control!$B$1),"Jan","Feb","Mar","Apr","May","Jun","Jul","Aug","Sep","Oct","Nov","Dec")</f>
        <v>Booking on 10 Sep</v>
      </c>
      <c r="O34" s="16">
        <f ca="1">SUMIFS(BookingRaw!$C$2:$C$600,BookingRaw!$A$2:$A$600,"LCH55",BookingRaw!$B$2:$B$600,"="&amp;Control!$B$1)</f>
        <v>0</v>
      </c>
      <c r="P34" s="16">
        <f ca="1">SUMIFS(BookingRaw!$D$2:$D$600,BookingRaw!$A$2:$A$600,"LCH55",BookingRaw!$B$2:$B$600,"="&amp;Control!$B$1)</f>
        <v>0</v>
      </c>
      <c r="Q34" s="16">
        <f ca="1">SUMIFS(BookingRaw!$E$2:$E$600,BookingRaw!$A$2:$A$600,"LCH55",BookingRaw!$B$2:$B$600,"="&amp;Control!$B$1)</f>
        <v>0</v>
      </c>
      <c r="R34" s="17">
        <f ca="1">SUMIFS(BookingRaw!$F$2:$F$600,BookingRaw!$A$2:$A$600,"LCH55",BookingRaw!$B$2:$B$600,"="&amp;Control!$B$1)</f>
        <v>0</v>
      </c>
      <c r="S34" s="17">
        <f ca="1">SUMIFS(BookingRaw!$G$2:$G$600,BookingRaw!$A$2:$A$600,"LCH55",BookingRaw!$B$2:$B$600,"="&amp;Control!$B$1)</f>
        <v>0</v>
      </c>
      <c r="T34" s="18">
        <f ca="1">SUMIFS(BookingRaw!$H$2:$H$600,BookingRaw!$A$2:$A$600,"LCH55",BookingRaw!$B$2:$B$600,"="&amp;Control!$B$1)</f>
        <v>0</v>
      </c>
      <c r="U34" s="18">
        <f ca="1">SUMIFS(BookingRaw!$I$2:$I$600,BookingRaw!$A$2:$A$600,"LCH55",BookingRaw!$B$2:$B$600,"="&amp;Control!$B$1)</f>
        <v>0</v>
      </c>
      <c r="V34" s="18">
        <f ca="1">SUMIFS(BookingRaw!$J$2:$J$600,BookingRaw!$A$2:$A$600,"LCH55",BookingRaw!$B$2:$B$600,"="&amp;Control!$B$1)</f>
        <v>0</v>
      </c>
      <c r="W34" s="19">
        <f ca="1">SUMIFS(BookingRaw!$K$2:$K$600,BookingRaw!$A$2:$A$600,"LCH55",BookingRaw!$B$2:$B$600,"="&amp;Control!$B$1)</f>
        <v>0</v>
      </c>
      <c r="Y34" s="14">
        <f ca="1">Control!$A$4</f>
        <v>37</v>
      </c>
      <c r="Z34" s="15" t="str">
        <f ca="1">"Booking on "&amp;DAY(Control!$B$1)&amp;" "&amp;CHOOSE(MONTH(Control!$B$1),"Jan","Feb","Mar","Apr","May","Jun","Jul","Aug","Sep","Oct","Nov","Dec")</f>
        <v>Booking on 10 Sep</v>
      </c>
      <c r="AA34" s="16">
        <f ca="1">SUMIFS(BookingRaw!$C$2:$C$600,BookingRaw!$A$2:$A$600,"LCHY5",BookingRaw!$B$2:$B$600,"="&amp;Control!$B$1)</f>
        <v>0</v>
      </c>
      <c r="AB34" s="16">
        <f ca="1">SUMIFS(BookingRaw!$D$2:$D$600,BookingRaw!$A$2:$A$600,"LCHY5",BookingRaw!$B$2:$B$600,"="&amp;Control!$B$1)</f>
        <v>0</v>
      </c>
      <c r="AC34" s="16">
        <f ca="1">SUMIFS(BookingRaw!$E$2:$E$600,BookingRaw!$A$2:$A$600,"LCHY5",BookingRaw!$B$2:$B$600,"="&amp;Control!$B$1)</f>
        <v>0</v>
      </c>
      <c r="AD34" s="17">
        <f ca="1">SUMIFS(BookingRaw!$F$2:$F$600,BookingRaw!$A$2:$A$600,"LCHY5",BookingRaw!$B$2:$B$600,"="&amp;Control!$B$1)</f>
        <v>0</v>
      </c>
      <c r="AE34" s="17">
        <f ca="1">SUMIFS(BookingRaw!$G$2:$G$600,BookingRaw!$A$2:$A$600,"LCHY5",BookingRaw!$B$2:$B$600,"="&amp;Control!$B$1)</f>
        <v>0</v>
      </c>
      <c r="AF34" s="18">
        <f ca="1">SUMIFS(BookingRaw!$H$2:$H$600,BookingRaw!$A$2:$A$600,"LCHY5",BookingRaw!$B$2:$B$600,"="&amp;Control!$B$1)</f>
        <v>0</v>
      </c>
      <c r="AG34" s="18">
        <f ca="1">SUMIFS(BookingRaw!$I$2:$I$600,BookingRaw!$A$2:$A$600,"LCHY5",BookingRaw!$B$2:$B$600,"="&amp;Control!$B$1)</f>
        <v>0</v>
      </c>
      <c r="AH34" s="18">
        <f ca="1">SUMIFS(BookingRaw!$J$2:$J$600,BookingRaw!$A$2:$A$600,"LCHY5",BookingRaw!$B$2:$B$600,"="&amp;Control!$B$1)</f>
        <v>0</v>
      </c>
      <c r="AI34" s="19">
        <f ca="1">SUMIFS(BookingRaw!$K$2:$K$600,BookingRaw!$A$2:$A$600,"LCHY5",BookingRaw!$B$2:$B$600,"="&amp;Control!$B$1)</f>
        <v>0</v>
      </c>
    </row>
    <row r="35" spans="13:35" ht="12.95" customHeight="1" x14ac:dyDescent="0.25">
      <c r="M35" s="14">
        <f ca="1">Control!$A$4</f>
        <v>37</v>
      </c>
      <c r="N35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O35" s="16">
        <f ca="1">SUMIFS(BookingRaw!$C$2:$C$600,BookingRaw!$A$2:$A$600,"LCH55",BookingRaw!$B$2:$B$600,"&gt;="&amp;Control!$B$9,BookingRaw!$B$2:$B$600,"&lt;="&amp;Control!$C$4)</f>
        <v>0</v>
      </c>
      <c r="P35" s="16">
        <f ca="1">SUMIFS(BookingRaw!$D$2:$D$600,BookingRaw!$A$2:$A$600,"LCH55",BookingRaw!$B$2:$B$600,"&gt;="&amp;Control!$B$9,BookingRaw!$B$2:$B$600,"&lt;="&amp;Control!$C$4)</f>
        <v>0</v>
      </c>
      <c r="Q35" s="16">
        <f ca="1">SUMIFS(BookingRaw!$E$2:$E$600,BookingRaw!$A$2:$A$600,"LCH55",BookingRaw!$B$2:$B$600,"&gt;="&amp;Control!$B$9,BookingRaw!$B$2:$B$600,"&lt;="&amp;Control!$C$4)</f>
        <v>0</v>
      </c>
      <c r="R35" s="17">
        <f ca="1">SUMIFS(BookingRaw!$F$2:$F$600,BookingRaw!$A$2:$A$600,"LCH55",BookingRaw!$B$2:$B$600,"&gt;="&amp;Control!$B$9,BookingRaw!$B$2:$B$600,"&lt;="&amp;Control!$C$4)</f>
        <v>0</v>
      </c>
      <c r="S35" s="17">
        <f ca="1">SUMIFS(BookingRaw!$G$2:$G$600,BookingRaw!$A$2:$A$600,"LCH55",BookingRaw!$B$2:$B$600,"&gt;="&amp;Control!$B$9,BookingRaw!$B$2:$B$600,"&lt;="&amp;Control!$C$4)</f>
        <v>0</v>
      </c>
      <c r="T35" s="18">
        <f ca="1">SUMIFS(BookingRaw!$H$2:$H$600,BookingRaw!$A$2:$A$600,"LCH55",BookingRaw!$B$2:$B$600,"&gt;="&amp;Control!$B$9,BookingRaw!$B$2:$B$600,"&lt;="&amp;Control!$C$4)</f>
        <v>0</v>
      </c>
      <c r="U35" s="18">
        <f ca="1">SUMIFS(BookingRaw!$I$2:$I$600,BookingRaw!$A$2:$A$600,"LCH55",BookingRaw!$B$2:$B$600,"&gt;="&amp;Control!$B$9,BookingRaw!$B$2:$B$600,"&lt;="&amp;Control!$C$4)</f>
        <v>0</v>
      </c>
      <c r="V35" s="18">
        <f ca="1">SUMIFS(BookingRaw!$J$2:$J$600,BookingRaw!$A$2:$A$600,"LCH55",BookingRaw!$B$2:$B$600,"&gt;="&amp;Control!$B$9,BookingRaw!$B$2:$B$600,"&lt;="&amp;Control!$C$4)</f>
        <v>0</v>
      </c>
      <c r="W35" s="19">
        <f ca="1">SUMIFS(BookingRaw!$K$2:$K$600,BookingRaw!$A$2:$A$600,"LCH55",BookingRaw!$B$2:$B$600,"&gt;="&amp;Control!$B$9,BookingRaw!$B$2:$B$600,"&lt;="&amp;Control!$C$4)</f>
        <v>0</v>
      </c>
      <c r="Y35" s="14">
        <f ca="1">Control!$A$4</f>
        <v>37</v>
      </c>
      <c r="Z35" s="15" t="str">
        <f ca="1">IF(Control!$B$9=Control!$C$4,DAY(Control!$B$9)&amp;" "&amp;CHOOSE(MONTH(Control!$B$9),"Jan","Feb","Mar","Apr","May","Jun","Jul","Aug","Sep","Oct","Nov","Dec"),"Booking on "&amp;IF(MONTH(Control!$B$9)=MONTH(Control!$C$4),DAY(Control!$B$9)&amp;"-"&amp;DAY(Control!$C$4)&amp;"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AA35" s="16">
        <f ca="1">SUMIFS(BookingRaw!$C$2:$C$600,BookingRaw!$A$2:$A$600,"LCHY5",BookingRaw!$B$2:$B$600,"&gt;="&amp;Control!$B$9,BookingRaw!$B$2:$B$600,"&lt;="&amp;Control!$C$4)</f>
        <v>0</v>
      </c>
      <c r="AB35" s="16">
        <f ca="1">SUMIFS(BookingRaw!$D$2:$D$600,BookingRaw!$A$2:$A$600,"LCHY5",BookingRaw!$B$2:$B$600,"&gt;="&amp;Control!$B$9,BookingRaw!$B$2:$B$600,"&lt;="&amp;Control!$C$4)</f>
        <v>0</v>
      </c>
      <c r="AC35" s="16">
        <f ca="1">SUMIFS(BookingRaw!$E$2:$E$600,BookingRaw!$A$2:$A$600,"LCHY5",BookingRaw!$B$2:$B$600,"&gt;="&amp;Control!$B$9,BookingRaw!$B$2:$B$600,"&lt;="&amp;Control!$C$4)</f>
        <v>0</v>
      </c>
      <c r="AD35" s="17">
        <f ca="1">SUMIFS(BookingRaw!$F$2:$F$600,BookingRaw!$A$2:$A$600,"LCHY5",BookingRaw!$B$2:$B$600,"&gt;="&amp;Control!$B$9,BookingRaw!$B$2:$B$600,"&lt;="&amp;Control!$C$4)</f>
        <v>0</v>
      </c>
      <c r="AE35" s="17">
        <f ca="1">SUMIFS(BookingRaw!$G$2:$G$600,BookingRaw!$A$2:$A$600,"LCHY5",BookingRaw!$B$2:$B$600,"&gt;="&amp;Control!$B$9,BookingRaw!$B$2:$B$600,"&lt;="&amp;Control!$C$4)</f>
        <v>0</v>
      </c>
      <c r="AF35" s="18">
        <f ca="1">SUMIFS(BookingRaw!$H$2:$H$600,BookingRaw!$A$2:$A$600,"LCHY5",BookingRaw!$B$2:$B$600,"&gt;="&amp;Control!$B$9,BookingRaw!$B$2:$B$600,"&lt;="&amp;Control!$C$4)</f>
        <v>0</v>
      </c>
      <c r="AG35" s="18">
        <f ca="1">SUMIFS(BookingRaw!$I$2:$I$600,BookingRaw!$A$2:$A$600,"LCHY5",BookingRaw!$B$2:$B$600,"&gt;="&amp;Control!$B$9,BookingRaw!$B$2:$B$600,"&lt;="&amp;Control!$C$4)</f>
        <v>0</v>
      </c>
      <c r="AH35" s="18">
        <f ca="1">SUMIFS(BookingRaw!$J$2:$J$600,BookingRaw!$A$2:$A$600,"LCHY5",BookingRaw!$B$2:$B$600,"&gt;="&amp;Control!$B$9,BookingRaw!$B$2:$B$600,"&lt;="&amp;Control!$C$4)</f>
        <v>0</v>
      </c>
      <c r="AI35" s="19">
        <f ca="1">SUMIFS(BookingRaw!$K$2:$K$600,BookingRaw!$A$2:$A$600,"LCHY5",BookingRaw!$B$2:$B$600,"&gt;="&amp;Control!$B$9,BookingRaw!$B$2:$B$600,"&lt;="&amp;Control!$C$4)</f>
        <v>0</v>
      </c>
    </row>
    <row r="36" spans="13:35" ht="12.95" customHeight="1" x14ac:dyDescent="0.25">
      <c r="M36" s="20"/>
      <c r="N36" s="21" t="str">
        <f ca="1">"AV Balance till "&amp;DAY(Control!$C$4)&amp;" "&amp;CHOOSE(MONTH(Control!$C$4),"Jan","Feb","Mar","Apr","May","Jun","Jul","Aug","Sep","Oct","Nov","Dec")</f>
        <v>AV Balance till 12 Sep</v>
      </c>
      <c r="O36" s="22">
        <f t="shared" ref="O36:W36" ca="1" si="24">O32-O33-O34-O35</f>
        <v>0</v>
      </c>
      <c r="P36" s="22">
        <f t="shared" ca="1" si="24"/>
        <v>0</v>
      </c>
      <c r="Q36" s="22">
        <f t="shared" ca="1" si="24"/>
        <v>0</v>
      </c>
      <c r="R36" s="22">
        <f t="shared" ca="1" si="24"/>
        <v>0</v>
      </c>
      <c r="S36" s="22">
        <f t="shared" ca="1" si="24"/>
        <v>0</v>
      </c>
      <c r="T36" s="22">
        <f t="shared" ca="1" si="24"/>
        <v>0</v>
      </c>
      <c r="U36" s="22">
        <f t="shared" ca="1" si="24"/>
        <v>0</v>
      </c>
      <c r="V36" s="22">
        <f t="shared" ca="1" si="24"/>
        <v>0</v>
      </c>
      <c r="W36" s="23">
        <f t="shared" ca="1" si="24"/>
        <v>0</v>
      </c>
      <c r="Y36" s="20"/>
      <c r="Z36" s="21" t="str">
        <f ca="1">"AV Balance till "&amp;DAY(Control!$C$4)&amp;" "&amp;CHOOSE(MONTH(Control!$C$4),"Jan","Feb","Mar","Apr","May","Jun","Jul","Aug","Sep","Oct","Nov","Dec")</f>
        <v>AV Balance till 12 Sep</v>
      </c>
      <c r="AA36" s="22">
        <f t="shared" ref="AA36:AI36" ca="1" si="25">AA32-AA33-AA34-AA35</f>
        <v>0</v>
      </c>
      <c r="AB36" s="22">
        <f t="shared" ca="1" si="25"/>
        <v>0</v>
      </c>
      <c r="AC36" s="22">
        <f t="shared" ca="1" si="25"/>
        <v>0</v>
      </c>
      <c r="AD36" s="22">
        <f t="shared" ca="1" si="25"/>
        <v>0</v>
      </c>
      <c r="AE36" s="22">
        <f t="shared" ca="1" si="25"/>
        <v>0</v>
      </c>
      <c r="AF36" s="22">
        <f t="shared" ca="1" si="25"/>
        <v>0</v>
      </c>
      <c r="AG36" s="22">
        <f t="shared" ca="1" si="25"/>
        <v>0</v>
      </c>
      <c r="AH36" s="22">
        <f t="shared" ca="1" si="25"/>
        <v>0</v>
      </c>
      <c r="AI36" s="23">
        <f t="shared" ca="1" si="25"/>
        <v>0</v>
      </c>
    </row>
    <row r="37" spans="13:35" ht="12.95" customHeight="1" x14ac:dyDescent="0.25">
      <c r="M37" s="14">
        <f ca="1">Control!$A$5</f>
        <v>38</v>
      </c>
      <c r="N37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O37" s="16">
        <f ca="1">SUMIFS(BookingRaw!$C$2:$C$600,BookingRaw!$A$2:$A$600,"LCH55",BookingRaw!$B$2:$B$600,"&gt;="&amp;Control!$B$5,BookingRaw!$B$2:$B$600,"&lt;="&amp;Control!$C$5)</f>
        <v>0</v>
      </c>
      <c r="P37" s="16">
        <f ca="1">SUMIFS(BookingRaw!$D$2:$D$600,BookingRaw!$A$2:$A$600,"LCH55",BookingRaw!$B$2:$B$600,"&gt;="&amp;Control!$B$5,BookingRaw!$B$2:$B$600,"&lt;="&amp;Control!$C$5)</f>
        <v>0</v>
      </c>
      <c r="Q37" s="16">
        <f ca="1">SUMIFS(BookingRaw!$E$2:$E$600,BookingRaw!$A$2:$A$600,"LCH55",BookingRaw!$B$2:$B$600,"&gt;="&amp;Control!$B$5,BookingRaw!$B$2:$B$600,"&lt;="&amp;Control!$C$5)</f>
        <v>0</v>
      </c>
      <c r="R37" s="17">
        <f ca="1">SUMIFS(BookingRaw!$F$2:$F$600,BookingRaw!$A$2:$A$600,"LCH55",BookingRaw!$B$2:$B$600,"&gt;="&amp;Control!$B$5,BookingRaw!$B$2:$B$600,"&lt;="&amp;Control!$C$5)</f>
        <v>0</v>
      </c>
      <c r="S37" s="17">
        <f ca="1">SUMIFS(BookingRaw!$G$2:$G$600,BookingRaw!$A$2:$A$600,"LCH55",BookingRaw!$B$2:$B$600,"&gt;="&amp;Control!$B$5,BookingRaw!$B$2:$B$600,"&lt;="&amp;Control!$C$5)</f>
        <v>0</v>
      </c>
      <c r="T37" s="18">
        <f ca="1">SUMIFS(BookingRaw!$H$2:$H$600,BookingRaw!$A$2:$A$600,"LCH55",BookingRaw!$B$2:$B$600,"&gt;="&amp;Control!$B$5,BookingRaw!$B$2:$B$600,"&lt;="&amp;Control!$C$5)</f>
        <v>0</v>
      </c>
      <c r="U37" s="18">
        <f ca="1">SUMIFS(BookingRaw!$I$2:$I$600,BookingRaw!$A$2:$A$600,"LCH55",BookingRaw!$B$2:$B$600,"&gt;="&amp;Control!$B$5,BookingRaw!$B$2:$B$600,"&lt;="&amp;Control!$C$5)</f>
        <v>0</v>
      </c>
      <c r="V37" s="18">
        <f ca="1">SUMIFS(BookingRaw!$J$2:$J$600,BookingRaw!$A$2:$A$600,"LCH55",BookingRaw!$B$2:$B$600,"&gt;="&amp;Control!$B$5,BookingRaw!$B$2:$B$600,"&lt;="&amp;Control!$C$5)</f>
        <v>0</v>
      </c>
      <c r="W37" s="19">
        <f ca="1">SUMIFS(BookingRaw!$K$2:$K$600,BookingRaw!$A$2:$A$600,"LCH55",BookingRaw!$B$2:$B$600,"&gt;="&amp;Control!$B$5,BookingRaw!$B$2:$B$600,"&lt;="&amp;Control!$C$5)</f>
        <v>0</v>
      </c>
      <c r="Y37" s="14">
        <f ca="1">Control!$A$5</f>
        <v>38</v>
      </c>
      <c r="Z37" s="15" t="str">
        <f ca="1">"Booking on "&amp;IF(MONTH(Control!$B$5)=MONTH(Control!$C$5),DAY(Control!$B$5)&amp;"-"&amp;DAY(Control!$C$5)&amp;" "&amp;CHOOSE(MONTH(Control!$C$5),"Jan","Feb","Mar","Apr","May","Jun","Jul","Aug","Sep","Oct","Nov","Dec"),DAY(Control!$B$5)&amp;" "&amp;CHOOSE(MONTH(Control!$B$5),"Jan","Feb","Mar","Apr","May","Jun","Jul","Aug","Sep","Oct","Nov","Dec")&amp;"-"&amp;DAY(Control!$C$5)&amp;" "&amp;CHOOSE(MONTH(Control!$C$5),"Jan","Feb","Mar","Apr","May","Jun","Jul","Aug","Sep","Oct","Nov","Dec"))</f>
        <v>Booking on 14-19 Sep</v>
      </c>
      <c r="AA37" s="16">
        <f ca="1">SUMIFS(BookingRaw!$C$2:$C$600,BookingRaw!$A$2:$A$600,"LCHY5",BookingRaw!$B$2:$B$600,"&gt;="&amp;Control!$B$5,BookingRaw!$B$2:$B$600,"&lt;="&amp;Control!$C$5)</f>
        <v>0</v>
      </c>
      <c r="AB37" s="16">
        <f ca="1">SUMIFS(BookingRaw!$D$2:$D$600,BookingRaw!$A$2:$A$600,"LCHY5",BookingRaw!$B$2:$B$600,"&gt;="&amp;Control!$B$5,BookingRaw!$B$2:$B$600,"&lt;="&amp;Control!$C$5)</f>
        <v>0</v>
      </c>
      <c r="AC37" s="16">
        <f ca="1">SUMIFS(BookingRaw!$E$2:$E$600,BookingRaw!$A$2:$A$600,"LCHY5",BookingRaw!$B$2:$B$600,"&gt;="&amp;Control!$B$5,BookingRaw!$B$2:$B$600,"&lt;="&amp;Control!$C$5)</f>
        <v>0</v>
      </c>
      <c r="AD37" s="17">
        <f ca="1">SUMIFS(BookingRaw!$F$2:$F$600,BookingRaw!$A$2:$A$600,"LCHY5",BookingRaw!$B$2:$B$600,"&gt;="&amp;Control!$B$5,BookingRaw!$B$2:$B$600,"&lt;="&amp;Control!$C$5)</f>
        <v>0</v>
      </c>
      <c r="AE37" s="17">
        <f ca="1">SUMIFS(BookingRaw!$G$2:$G$600,BookingRaw!$A$2:$A$600,"LCHY5",BookingRaw!$B$2:$B$600,"&gt;="&amp;Control!$B$5,BookingRaw!$B$2:$B$600,"&lt;="&amp;Control!$C$5)</f>
        <v>0</v>
      </c>
      <c r="AF37" s="18">
        <f ca="1">SUMIFS(BookingRaw!$H$2:$H$600,BookingRaw!$A$2:$A$600,"LCHY5",BookingRaw!$B$2:$B$600,"&gt;="&amp;Control!$B$5,BookingRaw!$B$2:$B$600,"&lt;="&amp;Control!$C$5)</f>
        <v>0</v>
      </c>
      <c r="AG37" s="18">
        <f ca="1">SUMIFS(BookingRaw!$I$2:$I$600,BookingRaw!$A$2:$A$600,"LCHY5",BookingRaw!$B$2:$B$600,"&gt;="&amp;Control!$B$5,BookingRaw!$B$2:$B$600,"&lt;="&amp;Control!$C$5)</f>
        <v>0</v>
      </c>
      <c r="AH37" s="18">
        <f ca="1">SUMIFS(BookingRaw!$J$2:$J$600,BookingRaw!$A$2:$A$600,"LCHY5",BookingRaw!$B$2:$B$600,"&gt;="&amp;Control!$B$5,BookingRaw!$B$2:$B$600,"&lt;="&amp;Control!$C$5)</f>
        <v>0</v>
      </c>
      <c r="AI37" s="19">
        <f ca="1">SUMIFS(BookingRaw!$K$2:$K$600,BookingRaw!$A$2:$A$600,"LCHY5",BookingRaw!$B$2:$B$600,"&gt;="&amp;Control!$B$5,BookingRaw!$B$2:$B$600,"&lt;="&amp;Control!$C$5)</f>
        <v>0</v>
      </c>
    </row>
    <row r="38" spans="13:35" ht="12.95" customHeight="1" x14ac:dyDescent="0.25">
      <c r="M38" s="20"/>
      <c r="N38" s="21" t="str">
        <f ca="1">"AV Balance till "&amp;DAY(Control!$C$5)&amp;" "&amp;CHOOSE(MONTH(Control!$C$5),"Jan","Feb","Mar","Apr","May","Jun","Jul","Aug","Sep","Oct","Nov","Dec")</f>
        <v>AV Balance till 19 Sep</v>
      </c>
      <c r="O38" s="22">
        <f t="shared" ref="O38:W38" ca="1" si="26">O36-O37</f>
        <v>0</v>
      </c>
      <c r="P38" s="22">
        <f t="shared" ca="1" si="26"/>
        <v>0</v>
      </c>
      <c r="Q38" s="22">
        <f t="shared" ca="1" si="26"/>
        <v>0</v>
      </c>
      <c r="R38" s="22">
        <f t="shared" ca="1" si="26"/>
        <v>0</v>
      </c>
      <c r="S38" s="22">
        <f t="shared" ca="1" si="26"/>
        <v>0</v>
      </c>
      <c r="T38" s="22">
        <f t="shared" ca="1" si="26"/>
        <v>0</v>
      </c>
      <c r="U38" s="22">
        <f t="shared" ca="1" si="26"/>
        <v>0</v>
      </c>
      <c r="V38" s="22">
        <f t="shared" ca="1" si="26"/>
        <v>0</v>
      </c>
      <c r="W38" s="23">
        <f t="shared" ca="1" si="26"/>
        <v>0</v>
      </c>
      <c r="Y38" s="20"/>
      <c r="Z38" s="21" t="str">
        <f ca="1">"AV Balance till "&amp;DAY(Control!$C$5)&amp;" "&amp;CHOOSE(MONTH(Control!$C$5),"Jan","Feb","Mar","Apr","May","Jun","Jul","Aug","Sep","Oct","Nov","Dec")</f>
        <v>AV Balance till 19 Sep</v>
      </c>
      <c r="AA38" s="22">
        <f t="shared" ref="AA38:AI38" ca="1" si="27">AA36-AA37</f>
        <v>0</v>
      </c>
      <c r="AB38" s="22">
        <f t="shared" ca="1" si="27"/>
        <v>0</v>
      </c>
      <c r="AC38" s="22">
        <f t="shared" ca="1" si="27"/>
        <v>0</v>
      </c>
      <c r="AD38" s="22">
        <f t="shared" ca="1" si="27"/>
        <v>0</v>
      </c>
      <c r="AE38" s="22">
        <f t="shared" ca="1" si="27"/>
        <v>0</v>
      </c>
      <c r="AF38" s="22">
        <f t="shared" ca="1" si="27"/>
        <v>0</v>
      </c>
      <c r="AG38" s="22">
        <f t="shared" ca="1" si="27"/>
        <v>0</v>
      </c>
      <c r="AH38" s="22">
        <f t="shared" ca="1" si="27"/>
        <v>0</v>
      </c>
      <c r="AI38" s="23">
        <f t="shared" ca="1" si="27"/>
        <v>0</v>
      </c>
    </row>
    <row r="39" spans="13:35" ht="12.95" customHeight="1" x14ac:dyDescent="0.25">
      <c r="M39" s="14">
        <f ca="1">Control!$A$6</f>
        <v>39</v>
      </c>
      <c r="N39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O39" s="16">
        <f ca="1">SUMIFS(BookingRaw!$C$2:$C$600,BookingRaw!$A$2:$A$600,"LCH55",BookingRaw!$B$2:$B$600,"&gt;="&amp;Control!$B$6,BookingRaw!$B$2:$B$600,"&lt;="&amp;Control!$C$6)</f>
        <v>0</v>
      </c>
      <c r="P39" s="16">
        <f ca="1">SUMIFS(BookingRaw!$D$2:$D$600,BookingRaw!$A$2:$A$600,"LCH55",BookingRaw!$B$2:$B$600,"&gt;="&amp;Control!$B$6,BookingRaw!$B$2:$B$600,"&lt;="&amp;Control!$C$6)</f>
        <v>0</v>
      </c>
      <c r="Q39" s="16">
        <f ca="1">SUMIFS(BookingRaw!$E$2:$E$600,BookingRaw!$A$2:$A$600,"LCH55",BookingRaw!$B$2:$B$600,"&gt;="&amp;Control!$B$6,BookingRaw!$B$2:$B$600,"&lt;="&amp;Control!$C$6)</f>
        <v>0</v>
      </c>
      <c r="R39" s="17">
        <f ca="1">SUMIFS(BookingRaw!$F$2:$F$600,BookingRaw!$A$2:$A$600,"LCH55",BookingRaw!$B$2:$B$600,"&gt;="&amp;Control!$B$6,BookingRaw!$B$2:$B$600,"&lt;="&amp;Control!$C$6)</f>
        <v>0</v>
      </c>
      <c r="S39" s="17">
        <f ca="1">SUMIFS(BookingRaw!$G$2:$G$600,BookingRaw!$A$2:$A$600,"LCH55",BookingRaw!$B$2:$B$600,"&gt;="&amp;Control!$B$6,BookingRaw!$B$2:$B$600,"&lt;="&amp;Control!$C$6)</f>
        <v>0</v>
      </c>
      <c r="T39" s="18">
        <f ca="1">SUMIFS(BookingRaw!$H$2:$H$600,BookingRaw!$A$2:$A$600,"LCH55",BookingRaw!$B$2:$B$600,"&gt;="&amp;Control!$B$6,BookingRaw!$B$2:$B$600,"&lt;="&amp;Control!$C$6)</f>
        <v>0</v>
      </c>
      <c r="U39" s="18">
        <f ca="1">SUMIFS(BookingRaw!$I$2:$I$600,BookingRaw!$A$2:$A$600,"LCH55",BookingRaw!$B$2:$B$600,"&gt;="&amp;Control!$B$6,BookingRaw!$B$2:$B$600,"&lt;="&amp;Control!$C$6)</f>
        <v>0</v>
      </c>
      <c r="V39" s="18">
        <f ca="1">SUMIFS(BookingRaw!$J$2:$J$600,BookingRaw!$A$2:$A$600,"LCH55",BookingRaw!$B$2:$B$600,"&gt;="&amp;Control!$B$6,BookingRaw!$B$2:$B$600,"&lt;="&amp;Control!$C$6)</f>
        <v>0</v>
      </c>
      <c r="W39" s="19">
        <f ca="1">SUMIFS(BookingRaw!$K$2:$K$600,BookingRaw!$A$2:$A$600,"LCH55",BookingRaw!$B$2:$B$600,"&gt;="&amp;Control!$B$6,BookingRaw!$B$2:$B$600,"&lt;="&amp;Control!$C$6)</f>
        <v>0</v>
      </c>
      <c r="Y39" s="14">
        <f ca="1">Control!$A$6</f>
        <v>39</v>
      </c>
      <c r="Z39" s="15" t="str">
        <f ca="1">"Booking on "&amp;IF(MONTH(Control!$B$6)=MONTH(Control!$C$6),DAY(Control!$B$6)&amp;"-"&amp;DAY(Control!$C$6)&amp;" "&amp;CHOOSE(MONTH(Control!$C$6),"Jan","Feb","Mar","Apr","May","Jun","Jul","Aug","Sep","Oct","Nov","Dec"),DAY(Control!$B$6)&amp;" "&amp;CHOOSE(MONTH(Control!$B$6),"Jan","Feb","Mar","Apr","May","Jun","Jul","Aug","Sep","Oct","Nov","Dec")&amp;"-"&amp;DAY(Control!$C$6)&amp;" "&amp;CHOOSE(MONTH(Control!$C$6),"Jan","Feb","Mar","Apr","May","Jun","Jul","Aug","Sep","Oct","Nov","Dec"))</f>
        <v>Booking on 21-26 Sep</v>
      </c>
      <c r="AA39" s="16">
        <f ca="1">SUMIFS(BookingRaw!$C$2:$C$600,BookingRaw!$A$2:$A$600,"LCHY5",BookingRaw!$B$2:$B$600,"&gt;="&amp;Control!$B$6,BookingRaw!$B$2:$B$600,"&lt;="&amp;Control!$C$6)</f>
        <v>0</v>
      </c>
      <c r="AB39" s="16">
        <f ca="1">SUMIFS(BookingRaw!$D$2:$D$600,BookingRaw!$A$2:$A$600,"LCHY5",BookingRaw!$B$2:$B$600,"&gt;="&amp;Control!$B$6,BookingRaw!$B$2:$B$600,"&lt;="&amp;Control!$C$6)</f>
        <v>0</v>
      </c>
      <c r="AC39" s="16">
        <f ca="1">SUMIFS(BookingRaw!$E$2:$E$600,BookingRaw!$A$2:$A$600,"LCHY5",BookingRaw!$B$2:$B$600,"&gt;="&amp;Control!$B$6,BookingRaw!$B$2:$B$600,"&lt;="&amp;Control!$C$6)</f>
        <v>0</v>
      </c>
      <c r="AD39" s="17">
        <f ca="1">SUMIFS(BookingRaw!$F$2:$F$600,BookingRaw!$A$2:$A$600,"LCHY5",BookingRaw!$B$2:$B$600,"&gt;="&amp;Control!$B$6,BookingRaw!$B$2:$B$600,"&lt;="&amp;Control!$C$6)</f>
        <v>0</v>
      </c>
      <c r="AE39" s="17">
        <f ca="1">SUMIFS(BookingRaw!$G$2:$G$600,BookingRaw!$A$2:$A$600,"LCHY5",BookingRaw!$B$2:$B$600,"&gt;="&amp;Control!$B$6,BookingRaw!$B$2:$B$600,"&lt;="&amp;Control!$C$6)</f>
        <v>0</v>
      </c>
      <c r="AF39" s="18">
        <f ca="1">SUMIFS(BookingRaw!$H$2:$H$600,BookingRaw!$A$2:$A$600,"LCHY5",BookingRaw!$B$2:$B$600,"&gt;="&amp;Control!$B$6,BookingRaw!$B$2:$B$600,"&lt;="&amp;Control!$C$6)</f>
        <v>0</v>
      </c>
      <c r="AG39" s="18">
        <f ca="1">SUMIFS(BookingRaw!$I$2:$I$600,BookingRaw!$A$2:$A$600,"LCHY5",BookingRaw!$B$2:$B$600,"&gt;="&amp;Control!$B$6,BookingRaw!$B$2:$B$600,"&lt;="&amp;Control!$C$6)</f>
        <v>0</v>
      </c>
      <c r="AH39" s="18">
        <f ca="1">SUMIFS(BookingRaw!$J$2:$J$600,BookingRaw!$A$2:$A$600,"LCHY5",BookingRaw!$B$2:$B$600,"&gt;="&amp;Control!$B$6,BookingRaw!$B$2:$B$600,"&lt;="&amp;Control!$C$6)</f>
        <v>0</v>
      </c>
      <c r="AI39" s="19">
        <f ca="1">SUMIFS(BookingRaw!$K$2:$K$600,BookingRaw!$A$2:$A$600,"LCHY5",BookingRaw!$B$2:$B$600,"&gt;="&amp;Control!$B$6,BookingRaw!$B$2:$B$600,"&lt;="&amp;Control!$C$6)</f>
        <v>0</v>
      </c>
    </row>
    <row r="40" spans="13:35" ht="12.95" customHeight="1" x14ac:dyDescent="0.25">
      <c r="M40" s="20"/>
      <c r="N40" s="21" t="str">
        <f ca="1">"AV Balance till "&amp;DAY(Control!$C$6)&amp;" "&amp;CHOOSE(MONTH(Control!$C$6),"Jan","Feb","Mar","Apr","May","Jun","Jul","Aug","Sep","Oct","Nov","Dec")</f>
        <v>AV Balance till 26 Sep</v>
      </c>
      <c r="O40" s="22">
        <f t="shared" ref="O40:W40" ca="1" si="28">O38-O39</f>
        <v>0</v>
      </c>
      <c r="P40" s="22">
        <f t="shared" ca="1" si="28"/>
        <v>0</v>
      </c>
      <c r="Q40" s="22">
        <f t="shared" ca="1" si="28"/>
        <v>0</v>
      </c>
      <c r="R40" s="22">
        <f t="shared" ca="1" si="28"/>
        <v>0</v>
      </c>
      <c r="S40" s="22">
        <f t="shared" ca="1" si="28"/>
        <v>0</v>
      </c>
      <c r="T40" s="22">
        <f t="shared" ca="1" si="28"/>
        <v>0</v>
      </c>
      <c r="U40" s="22">
        <f t="shared" ca="1" si="28"/>
        <v>0</v>
      </c>
      <c r="V40" s="22">
        <f t="shared" ca="1" si="28"/>
        <v>0</v>
      </c>
      <c r="W40" s="23">
        <f t="shared" ca="1" si="28"/>
        <v>0</v>
      </c>
      <c r="Y40" s="20"/>
      <c r="Z40" s="21" t="str">
        <f ca="1">"AV Balance till "&amp;DAY(Control!$C$6)&amp;" "&amp;CHOOSE(MONTH(Control!$C$6),"Jan","Feb","Mar","Apr","May","Jun","Jul","Aug","Sep","Oct","Nov","Dec")</f>
        <v>AV Balance till 26 Sep</v>
      </c>
      <c r="AA40" s="22">
        <f t="shared" ref="AA40:AI40" ca="1" si="29">AA38-AA39</f>
        <v>0</v>
      </c>
      <c r="AB40" s="22">
        <f t="shared" ca="1" si="29"/>
        <v>0</v>
      </c>
      <c r="AC40" s="22">
        <f t="shared" ca="1" si="29"/>
        <v>0</v>
      </c>
      <c r="AD40" s="22">
        <f t="shared" ca="1" si="29"/>
        <v>0</v>
      </c>
      <c r="AE40" s="22">
        <f t="shared" ca="1" si="29"/>
        <v>0</v>
      </c>
      <c r="AF40" s="22">
        <f t="shared" ca="1" si="29"/>
        <v>0</v>
      </c>
      <c r="AG40" s="22">
        <f t="shared" ca="1" si="29"/>
        <v>0</v>
      </c>
      <c r="AH40" s="22">
        <f t="shared" ca="1" si="29"/>
        <v>0</v>
      </c>
      <c r="AI40" s="23">
        <f t="shared" ca="1" si="29"/>
        <v>0</v>
      </c>
    </row>
    <row r="41" spans="13:35" ht="12.95" customHeight="1" x14ac:dyDescent="0.25">
      <c r="M41" s="14">
        <f ca="1">Control!$A$7</f>
        <v>40</v>
      </c>
      <c r="N41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O41" s="16">
        <f ca="1">SUMIFS(BookingRaw!$C$2:$C$600,BookingRaw!$A$2:$A$600,"LCH55",BookingRaw!$B$2:$B$600,"&gt;="&amp;Control!$B$7,BookingRaw!$B$2:$B$600,"&lt;="&amp;Control!$C$7)</f>
        <v>0</v>
      </c>
      <c r="P41" s="16">
        <f ca="1">SUMIFS(BookingRaw!$D$2:$D$600,BookingRaw!$A$2:$A$600,"LCH55",BookingRaw!$B$2:$B$600,"&gt;="&amp;Control!$B$7,BookingRaw!$B$2:$B$600,"&lt;="&amp;Control!$C$7)</f>
        <v>0</v>
      </c>
      <c r="Q41" s="16">
        <f ca="1">SUMIFS(BookingRaw!$E$2:$E$600,BookingRaw!$A$2:$A$600,"LCH55",BookingRaw!$B$2:$B$600,"&gt;="&amp;Control!$B$7,BookingRaw!$B$2:$B$600,"&lt;="&amp;Control!$C$7)</f>
        <v>0</v>
      </c>
      <c r="R41" s="17">
        <f ca="1">SUMIFS(BookingRaw!$F$2:$F$600,BookingRaw!$A$2:$A$600,"LCH55",BookingRaw!$B$2:$B$600,"&gt;="&amp;Control!$B$7,BookingRaw!$B$2:$B$600,"&lt;="&amp;Control!$C$7)</f>
        <v>0</v>
      </c>
      <c r="S41" s="17">
        <f ca="1">SUMIFS(BookingRaw!$G$2:$G$600,BookingRaw!$A$2:$A$600,"LCH55",BookingRaw!$B$2:$B$600,"&gt;="&amp;Control!$B$7,BookingRaw!$B$2:$B$600,"&lt;="&amp;Control!$C$7)</f>
        <v>0</v>
      </c>
      <c r="T41" s="18">
        <f ca="1">SUMIFS(BookingRaw!$H$2:$H$600,BookingRaw!$A$2:$A$600,"LCH55",BookingRaw!$B$2:$B$600,"&gt;="&amp;Control!$B$7,BookingRaw!$B$2:$B$600,"&lt;="&amp;Control!$C$7)</f>
        <v>0</v>
      </c>
      <c r="U41" s="18">
        <f ca="1">SUMIFS(BookingRaw!$I$2:$I$600,BookingRaw!$A$2:$A$600,"LCH55",BookingRaw!$B$2:$B$600,"&gt;="&amp;Control!$B$7,BookingRaw!$B$2:$B$600,"&lt;="&amp;Control!$C$7)</f>
        <v>0</v>
      </c>
      <c r="V41" s="18">
        <f ca="1">SUMIFS(BookingRaw!$J$2:$J$600,BookingRaw!$A$2:$A$600,"LCH55",BookingRaw!$B$2:$B$600,"&gt;="&amp;Control!$B$7,BookingRaw!$B$2:$B$600,"&lt;="&amp;Control!$C$7)</f>
        <v>0</v>
      </c>
      <c r="W41" s="19">
        <f ca="1">SUMIFS(BookingRaw!$K$2:$K$600,BookingRaw!$A$2:$A$600,"LCH55",BookingRaw!$B$2:$B$600,"&gt;="&amp;Control!$B$7,BookingRaw!$B$2:$B$600,"&lt;="&amp;Control!$C$7)</f>
        <v>0</v>
      </c>
      <c r="Y41" s="14">
        <f ca="1">Control!$A$7</f>
        <v>40</v>
      </c>
      <c r="Z41" s="15" t="str">
        <f ca="1">"Booking on "&amp;IF(MONTH(Control!$B$7)=MONTH(Control!$C$7),DAY(Control!$B$7)&amp;"-"&amp;DAY(Control!$C$7)&amp;" "&amp;CHOOSE(MONTH(Control!$C$7),"Jan","Feb","Mar","Apr","May","Jun","Jul","Aug","Sep","Oct","Nov","Dec"),DAY(Control!$B$7)&amp;" "&amp;CHOOSE(MONTH(Control!$B$7),"Jan","Feb","Mar","Apr","May","Jun","Jul","Aug","Sep","Oct","Nov","Dec")&amp;"-"&amp;DAY(Control!$C$7)&amp;" "&amp;CHOOSE(MONTH(Control!$C$7),"Jan","Feb","Mar","Apr","May","Jun","Jul","Aug","Sep","Oct","Nov","Dec"))</f>
        <v>Booking on 28 Sep-3 Oct</v>
      </c>
      <c r="AA41" s="16">
        <f ca="1">SUMIFS(BookingRaw!$C$2:$C$600,BookingRaw!$A$2:$A$600,"LCHY5",BookingRaw!$B$2:$B$600,"&gt;="&amp;Control!$B$7,BookingRaw!$B$2:$B$600,"&lt;="&amp;Control!$C$7)</f>
        <v>0</v>
      </c>
      <c r="AB41" s="16">
        <f ca="1">SUMIFS(BookingRaw!$D$2:$D$600,BookingRaw!$A$2:$A$600,"LCHY5",BookingRaw!$B$2:$B$600,"&gt;="&amp;Control!$B$7,BookingRaw!$B$2:$B$600,"&lt;="&amp;Control!$C$7)</f>
        <v>0</v>
      </c>
      <c r="AC41" s="16">
        <f ca="1">SUMIFS(BookingRaw!$E$2:$E$600,BookingRaw!$A$2:$A$600,"LCHY5",BookingRaw!$B$2:$B$600,"&gt;="&amp;Control!$B$7,BookingRaw!$B$2:$B$600,"&lt;="&amp;Control!$C$7)</f>
        <v>0</v>
      </c>
      <c r="AD41" s="17">
        <f ca="1">SUMIFS(BookingRaw!$F$2:$F$600,BookingRaw!$A$2:$A$600,"LCHY5",BookingRaw!$B$2:$B$600,"&gt;="&amp;Control!$B$7,BookingRaw!$B$2:$B$600,"&lt;="&amp;Control!$C$7)</f>
        <v>0</v>
      </c>
      <c r="AE41" s="17">
        <f ca="1">SUMIFS(BookingRaw!$G$2:$G$600,BookingRaw!$A$2:$A$600,"LCHY5",BookingRaw!$B$2:$B$600,"&gt;="&amp;Control!$B$7,BookingRaw!$B$2:$B$600,"&lt;="&amp;Control!$C$7)</f>
        <v>0</v>
      </c>
      <c r="AF41" s="18">
        <f ca="1">SUMIFS(BookingRaw!$H$2:$H$600,BookingRaw!$A$2:$A$600,"LCHY5",BookingRaw!$B$2:$B$600,"&gt;="&amp;Control!$B$7,BookingRaw!$B$2:$B$600,"&lt;="&amp;Control!$C$7)</f>
        <v>0</v>
      </c>
      <c r="AG41" s="18">
        <f ca="1">SUMIFS(BookingRaw!$I$2:$I$600,BookingRaw!$A$2:$A$600,"LCHY5",BookingRaw!$B$2:$B$600,"&gt;="&amp;Control!$B$7,BookingRaw!$B$2:$B$600,"&lt;="&amp;Control!$C$7)</f>
        <v>0</v>
      </c>
      <c r="AH41" s="18">
        <f ca="1">SUMIFS(BookingRaw!$J$2:$J$600,BookingRaw!$A$2:$A$600,"LCHY5",BookingRaw!$B$2:$B$600,"&gt;="&amp;Control!$B$7,BookingRaw!$B$2:$B$600,"&lt;="&amp;Control!$C$7)</f>
        <v>0</v>
      </c>
      <c r="AI41" s="19">
        <f ca="1">SUMIFS(BookingRaw!$K$2:$K$600,BookingRaw!$A$2:$A$600,"LCHY5",BookingRaw!$B$2:$B$600,"&gt;="&amp;Control!$B$7,BookingRaw!$B$2:$B$600,"&lt;="&amp;Control!$C$7)</f>
        <v>0</v>
      </c>
    </row>
    <row r="42" spans="13:35" ht="12.95" customHeight="1" x14ac:dyDescent="0.25">
      <c r="M42" s="24"/>
      <c r="N42" s="25" t="str">
        <f ca="1">"AV Balance till "&amp;DAY(Control!$C$7)&amp;" "&amp;CHOOSE(MONTH(Control!$C$7),"Jan","Feb","Mar","Apr","May","Jun","Jul","Aug","Sep","Oct","Nov","Dec")</f>
        <v>AV Balance till 3 Oct</v>
      </c>
      <c r="O42" s="26">
        <f t="shared" ref="O42:W42" ca="1" si="30">O40-O41</f>
        <v>0</v>
      </c>
      <c r="P42" s="26">
        <f t="shared" ca="1" si="30"/>
        <v>0</v>
      </c>
      <c r="Q42" s="26">
        <f t="shared" ca="1" si="30"/>
        <v>0</v>
      </c>
      <c r="R42" s="26">
        <f t="shared" ca="1" si="30"/>
        <v>0</v>
      </c>
      <c r="S42" s="26">
        <f t="shared" ca="1" si="30"/>
        <v>0</v>
      </c>
      <c r="T42" s="26">
        <f t="shared" ca="1" si="30"/>
        <v>0</v>
      </c>
      <c r="U42" s="26">
        <f t="shared" ca="1" si="30"/>
        <v>0</v>
      </c>
      <c r="V42" s="26">
        <f t="shared" ca="1" si="30"/>
        <v>0</v>
      </c>
      <c r="W42" s="27">
        <f t="shared" ca="1" si="30"/>
        <v>0</v>
      </c>
      <c r="Y42" s="24"/>
      <c r="Z42" s="25" t="str">
        <f ca="1">"AV Balance till "&amp;DAY(Control!$C$7)&amp;" "&amp;CHOOSE(MONTH(Control!$C$7),"Jan","Feb","Mar","Apr","May","Jun","Jul","Aug","Sep","Oct","Nov","Dec")</f>
        <v>AV Balance till 3 Oct</v>
      </c>
      <c r="AA42" s="26">
        <f t="shared" ref="AA42:AI42" ca="1" si="31">AA40-AA41</f>
        <v>0</v>
      </c>
      <c r="AB42" s="26">
        <f t="shared" ca="1" si="31"/>
        <v>0</v>
      </c>
      <c r="AC42" s="26">
        <f t="shared" ca="1" si="31"/>
        <v>0</v>
      </c>
      <c r="AD42" s="26">
        <f t="shared" ca="1" si="31"/>
        <v>0</v>
      </c>
      <c r="AE42" s="26">
        <f t="shared" ca="1" si="31"/>
        <v>0</v>
      </c>
      <c r="AF42" s="26">
        <f t="shared" ca="1" si="31"/>
        <v>0</v>
      </c>
      <c r="AG42" s="26">
        <f t="shared" ca="1" si="31"/>
        <v>0</v>
      </c>
      <c r="AH42" s="26">
        <f t="shared" ca="1" si="31"/>
        <v>0</v>
      </c>
      <c r="AI42" s="27">
        <f t="shared" ca="1" si="31"/>
        <v>0</v>
      </c>
    </row>
    <row r="43" spans="13:35" ht="12.95" customHeight="1" x14ac:dyDescent="0.2"/>
    <row r="44" spans="13:35" ht="12.95" customHeight="1" x14ac:dyDescent="0.2"/>
  </sheetData>
  <mergeCells count="10">
    <mergeCell ref="A1:AI1"/>
    <mergeCell ref="M30:W30"/>
    <mergeCell ref="Y30:AI30"/>
    <mergeCell ref="A17:K17"/>
    <mergeCell ref="M4:W4"/>
    <mergeCell ref="A2:AI2"/>
    <mergeCell ref="Y17:AI17"/>
    <mergeCell ref="A4:K4"/>
    <mergeCell ref="M17:W17"/>
    <mergeCell ref="Y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BookingRaw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2026-09-10T01:23:40Z</dcterms:created>
  <dcterms:modified xsi:type="dcterms:W3CDTF">2026-09-10T01:23:46Z</dcterms:modified>
</cp:coreProperties>
</file>