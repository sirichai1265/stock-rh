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YEAR BUILT" sheetId="5" state="visible" r:id="rId5"/>
    <sheet xmlns:r="http://schemas.openxmlformats.org/officeDocument/2006/relationships" name="Dashboard" sheetId="6" state="visible" r:id="rId6"/>
  </sheets>
  <definedNames>
    <definedName name="_xlnm.Print_Area" localSheetId="3">'TOTAL RH'!$A$1:$Q$33</definedName>
    <definedName name="_xlnm.Print_Area" localSheetId="4">'YEAR BUILT'!$A$1:$Q$28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3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>
      <b val="1"/>
      <sz val="9"/>
    </font>
    <font/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2" applyAlignment="1" pivotButton="0" quotePrefix="0" xfId="0">
      <alignment horizontal="center"/>
    </xf>
    <xf numFmtId="0" fontId="20" fillId="0" borderId="3" pivotButton="0" quotePrefix="0" xfId="0"/>
    <xf numFmtId="0" fontId="21" fillId="3" borderId="2" applyAlignment="1" pivotButton="0" quotePrefix="0" xfId="0">
      <alignment horizontal="center"/>
    </xf>
    <xf numFmtId="0" fontId="22" fillId="4" borderId="2" pivotButton="0" quotePrefix="0" xfId="0"/>
    <xf numFmtId="0" fontId="22" fillId="0" borderId="2" applyAlignment="1" pivotButton="0" quotePrefix="0" xfId="0">
      <alignment horizontal="center"/>
    </xf>
    <xf numFmtId="0" fontId="21" fillId="3" borderId="2" applyAlignment="1" pivotButton="0" quotePrefix="0" xfId="0">
      <alignment horizontal="left"/>
    </xf>
    <xf numFmtId="0" fontId="20" fillId="0" borderId="2" pivotButton="0" quotePrefix="0" xfId="0"/>
    <xf numFmtId="0" fontId="20" fillId="0" borderId="2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2" fillId="4" borderId="2" applyAlignment="1" pivotButton="0" quotePrefix="0" xfId="0">
      <alignment horizontal="left"/>
    </xf>
    <xf numFmtId="0" fontId="22" fillId="4" borderId="2" applyAlignment="1" pivotButton="0" quotePrefix="0" xfId="0">
      <alignment horizontal="center"/>
    </xf>
    <xf numFmtId="0" fontId="20" fillId="0" borderId="2" applyAlignment="1" pivotButton="0" quotePrefix="0" xfId="0">
      <alignment horizontal="left"/>
    </xf>
    <xf numFmtId="0" fontId="22" fillId="0" borderId="2" pivotButton="0" quotePrefix="0" xfId="0"/>
    <xf numFmtId="0" fontId="22" fillId="5" borderId="2" applyAlignment="1" pivotButton="0" quotePrefix="0" xfId="0">
      <alignment horizontal="left"/>
    </xf>
    <xf numFmtId="0" fontId="22" fillId="5" borderId="2" applyAlignment="1" pivotButton="0" quotePrefix="0" xfId="0">
      <alignment horizontal="center"/>
    </xf>
    <xf numFmtId="0" fontId="22" fillId="6" borderId="2" applyAlignment="1" pivotButton="0" quotePrefix="0" xfId="0">
      <alignment horizontal="center"/>
    </xf>
    <xf numFmtId="0" fontId="21" fillId="3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right"/>
    </xf>
    <xf numFmtId="0" fontId="20" fillId="5" borderId="2" pivotButton="0" quotePrefix="0" xfId="0"/>
    <xf numFmtId="0" fontId="23" fillId="0" borderId="2" pivotButton="0" quotePrefix="0" xfId="0"/>
    <xf numFmtId="0" fontId="22" fillId="0" borderId="2" applyAlignment="1" pivotButton="0" quotePrefix="0" xfId="0">
      <alignment horizontal="left"/>
    </xf>
    <xf numFmtId="0" fontId="20" fillId="0" borderId="1" pivotButton="0" quotePrefix="0" xfId="0"/>
    <xf numFmtId="0" fontId="24" fillId="0" borderId="2" applyAlignment="1" pivotButton="0" quotePrefix="0" xfId="0">
      <alignment horizontal="left"/>
    </xf>
    <xf numFmtId="0" fontId="25" fillId="0" borderId="2" applyAlignment="1" pivotButton="0" quotePrefix="0" xfId="0">
      <alignment horizontal="left"/>
    </xf>
    <xf numFmtId="0" fontId="26" fillId="0" borderId="2" applyAlignment="1" pivotButton="0" quotePrefix="0" xfId="0">
      <alignment horizontal="left"/>
    </xf>
    <xf numFmtId="0" fontId="20" fillId="3" borderId="2" pivotButton="0" quotePrefix="0" xfId="0"/>
    <xf numFmtId="0" fontId="21" fillId="7" borderId="2" applyAlignment="1" pivotButton="0" quotePrefix="0" xfId="0">
      <alignment horizontal="center"/>
    </xf>
    <xf numFmtId="0" fontId="27" fillId="8" borderId="2" applyAlignment="1" pivotButton="0" quotePrefix="0" xfId="0">
      <alignment horizontal="center"/>
    </xf>
    <xf numFmtId="0" fontId="20" fillId="8" borderId="2" applyAlignment="1" pivotButton="0" quotePrefix="0" xfId="0">
      <alignment horizontal="center"/>
    </xf>
    <xf numFmtId="0" fontId="27" fillId="9" borderId="2" applyAlignment="1" pivotButton="0" quotePrefix="0" xfId="0">
      <alignment horizontal="center"/>
    </xf>
    <xf numFmtId="0" fontId="20" fillId="9" borderId="2" applyAlignment="1" pivotButton="0" quotePrefix="0" xfId="0">
      <alignment horizontal="center"/>
    </xf>
    <xf numFmtId="0" fontId="27" fillId="10" borderId="2" applyAlignment="1" pivotButton="0" quotePrefix="0" xfId="0">
      <alignment horizontal="center"/>
    </xf>
    <xf numFmtId="0" fontId="20" fillId="10" borderId="2" applyAlignment="1" pivotButton="0" quotePrefix="0" xfId="0">
      <alignment horizontal="center"/>
    </xf>
    <xf numFmtId="0" fontId="27" fillId="11" borderId="2" applyAlignment="1" pivotButton="0" quotePrefix="0" xfId="0">
      <alignment horizontal="center"/>
    </xf>
    <xf numFmtId="0" fontId="20" fillId="11" borderId="2" applyAlignment="1" pivotButton="0" quotePrefix="0" xfId="0">
      <alignment horizontal="center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8" fillId="0" borderId="1" applyAlignment="1" pivotButton="0" quotePrefix="0" xfId="0">
      <alignment horizontal="left"/>
    </xf>
    <xf numFmtId="0" fontId="29" fillId="0" borderId="1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26" fillId="0" borderId="1" applyAlignment="1" pivotButton="0" quotePrefix="0" xfId="0">
      <alignment horizontal="left"/>
    </xf>
    <xf numFmtId="0" fontId="31" fillId="0" borderId="0" pivotButton="0" quotePrefix="0" xfId="0"/>
    <xf numFmtId="0" fontId="24" fillId="0" borderId="1" pivotButton="0" quotePrefix="0" xfId="0"/>
    <xf numFmtId="0" fontId="25" fillId="0" borderId="1" pivotButton="0" quotePrefix="0" xfId="0"/>
    <xf numFmtId="0" fontId="22" fillId="0" borderId="1" pivotButton="0" quotePrefix="0" xfId="0"/>
    <xf numFmtId="0" fontId="22" fillId="4" borderId="1" pivotButton="0" quotePrefix="0" xfId="0"/>
    <xf numFmtId="0" fontId="22" fillId="4" borderId="1" applyAlignment="1" pivotButton="0" quotePrefix="0" xfId="0">
      <alignment horizontal="center"/>
    </xf>
    <xf numFmtId="0" fontId="27" fillId="0" borderId="1" pivotButton="0" quotePrefix="0" xfId="0"/>
    <xf numFmtId="0" fontId="20" fillId="0" borderId="1" applyAlignment="1" pivotButton="0" quotePrefix="0" xfId="0">
      <alignment horizontal="center"/>
    </xf>
    <xf numFmtId="0" fontId="22" fillId="5" borderId="1" pivotButton="0" quotePrefix="0" xfId="0"/>
    <xf numFmtId="0" fontId="22" fillId="5" borderId="1" applyAlignment="1" pivotButton="0" quotePrefix="0" xfId="0">
      <alignment horizontal="center"/>
    </xf>
    <xf numFmtId="0" fontId="24" fillId="0" borderId="1" applyAlignment="1" pivotButton="0" quotePrefix="0" xfId="0">
      <alignment horizontal="left"/>
    </xf>
    <xf numFmtId="0" fontId="25" fillId="0" borderId="1" applyAlignment="1" pivotButton="0" quotePrefix="0" xfId="0">
      <alignment horizontal="left"/>
    </xf>
    <xf numFmtId="0" fontId="26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5" borderId="2" applyAlignment="1" pivotButton="0" quotePrefix="0" xfId="0">
      <alignment horizontal="center"/>
    </xf>
    <xf numFmtId="0" fontId="32" fillId="5" borderId="2" applyAlignment="1" pivotButton="0" quotePrefix="0" xfId="0">
      <alignment horizontal="center"/>
    </xf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2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46314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5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BKK27</t>
        </is>
      </c>
      <c r="B2" s="2" t="n">
        <v>46319</v>
      </c>
      <c r="C2" s="1" t="n">
        <v>1</v>
      </c>
      <c r="D2" s="1" t="n">
        <v>0</v>
      </c>
    </row>
    <row r="3" ht="13" customHeight="1">
      <c r="A3" s="1" t="inlineStr">
        <is>
          <t>BKK27</t>
        </is>
      </c>
      <c r="B3" s="2" t="n">
        <v>46316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46331</v>
      </c>
      <c r="C4" s="1" t="n">
        <v>1</v>
      </c>
      <c r="D4" s="1" t="n">
        <v>0</v>
      </c>
    </row>
    <row r="5" ht="13" customHeight="1">
      <c r="A5" s="1" t="inlineStr">
        <is>
          <t>LCH27</t>
        </is>
      </c>
      <c r="B5" s="2" t="n">
        <v>46315</v>
      </c>
      <c r="C5" s="1" t="n">
        <v>1</v>
      </c>
      <c r="D5" s="1" t="n">
        <v>0</v>
      </c>
    </row>
    <row r="6" ht="13" customHeight="1">
      <c r="A6" s="1" t="inlineStr">
        <is>
          <t>BKK27</t>
        </is>
      </c>
      <c r="B6" s="2" t="n">
        <v>46314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46318</v>
      </c>
      <c r="C7" s="1" t="n">
        <v>1</v>
      </c>
      <c r="D7" s="1" t="n">
        <v>0</v>
      </c>
    </row>
    <row r="8" ht="13" customHeight="1">
      <c r="A8" s="1" t="inlineStr">
        <is>
          <t>BKK27</t>
        </is>
      </c>
      <c r="B8" s="2" t="n">
        <v>46319</v>
      </c>
      <c r="C8" s="1" t="n">
        <v>1</v>
      </c>
      <c r="D8" s="1" t="n">
        <v>0</v>
      </c>
    </row>
    <row r="9" ht="13" customHeight="1">
      <c r="A9" s="1" t="inlineStr">
        <is>
          <t>BKK27</t>
        </is>
      </c>
      <c r="B9" s="2" t="n">
        <v>46317</v>
      </c>
      <c r="C9" s="1" t="n">
        <v>1</v>
      </c>
      <c r="D9" s="1" t="n">
        <v>0</v>
      </c>
    </row>
    <row r="10" ht="13" customHeight="1">
      <c r="A10" s="1" t="inlineStr">
        <is>
          <t>BKK27</t>
        </is>
      </c>
      <c r="B10" s="2" t="n">
        <v>46324</v>
      </c>
      <c r="C10" s="1" t="n">
        <v>1</v>
      </c>
      <c r="D10" s="1" t="n">
        <v>0</v>
      </c>
    </row>
    <row r="11" ht="13" customHeight="1">
      <c r="A11" s="1" t="inlineStr">
        <is>
          <t>BKK27</t>
        </is>
      </c>
      <c r="B11" s="2" t="n">
        <v>46325</v>
      </c>
      <c r="C11" s="1" t="n">
        <v>1</v>
      </c>
      <c r="D11" s="1" t="n">
        <v>0</v>
      </c>
    </row>
    <row r="12" ht="13" customHeight="1">
      <c r="A12" s="1" t="inlineStr">
        <is>
          <t>BKK27</t>
        </is>
      </c>
      <c r="B12" s="2" t="n">
        <v>46316</v>
      </c>
      <c r="C12" s="1" t="n">
        <v>1</v>
      </c>
      <c r="D12" s="1" t="n">
        <v>0</v>
      </c>
    </row>
    <row r="13" ht="13" customHeight="1">
      <c r="A13" s="1" t="inlineStr">
        <is>
          <t>BKK27</t>
        </is>
      </c>
      <c r="B13" s="2" t="n">
        <v>46323</v>
      </c>
      <c r="C13" s="1" t="n">
        <v>0</v>
      </c>
      <c r="D13" s="1" t="n">
        <v>0</v>
      </c>
    </row>
    <row r="14" ht="13" customHeight="1">
      <c r="A14" s="1" t="inlineStr">
        <is>
          <t>BKK27</t>
        </is>
      </c>
      <c r="B14" s="2" t="n">
        <v>46314</v>
      </c>
      <c r="C14" s="1" t="n">
        <v>0</v>
      </c>
      <c r="D14" s="1" t="n">
        <v>0</v>
      </c>
    </row>
    <row r="15" ht="13" customHeight="1">
      <c r="A15" s="1" t="inlineStr">
        <is>
          <t>BKK27</t>
        </is>
      </c>
      <c r="B15" s="2" t="n">
        <v>46314</v>
      </c>
      <c r="C15" s="1" t="n">
        <v>0</v>
      </c>
      <c r="D15" s="1" t="n">
        <v>0</v>
      </c>
    </row>
    <row r="16" ht="13" customHeight="1">
      <c r="A16" s="1" t="inlineStr">
        <is>
          <t>LCH27</t>
        </is>
      </c>
      <c r="B16" s="2" t="n">
        <v>46314</v>
      </c>
      <c r="C16" s="1" t="n">
        <v>0</v>
      </c>
      <c r="D16" s="1" t="n">
        <v>0</v>
      </c>
    </row>
    <row r="17" ht="13" customHeight="1">
      <c r="A17" s="1" t="inlineStr">
        <is>
          <t>BKK27</t>
        </is>
      </c>
      <c r="B17" s="2" t="n">
        <v>46317</v>
      </c>
      <c r="C17" s="1" t="n">
        <v>0</v>
      </c>
      <c r="D17" s="1" t="n">
        <v>0</v>
      </c>
    </row>
    <row r="18" ht="13" customHeight="1">
      <c r="A18" s="1" t="inlineStr">
        <is>
          <t>BKK27</t>
        </is>
      </c>
      <c r="B18" s="2" t="n">
        <v>46315</v>
      </c>
      <c r="C18" s="1" t="n">
        <v>0</v>
      </c>
      <c r="D18" s="1" t="n">
        <v>0</v>
      </c>
    </row>
    <row r="19" ht="13" customHeight="1">
      <c r="A19" s="1" t="inlineStr">
        <is>
          <t>BKK27</t>
        </is>
      </c>
      <c r="B19" s="2" t="n">
        <v>46330</v>
      </c>
      <c r="C19" s="1" t="n">
        <v>0</v>
      </c>
      <c r="D19" s="1" t="n">
        <v>0</v>
      </c>
    </row>
    <row r="20" ht="13" customHeight="1">
      <c r="A20" s="1" t="inlineStr">
        <is>
          <t>BKK27</t>
        </is>
      </c>
      <c r="B20" s="2" t="n">
        <v>46322</v>
      </c>
      <c r="C20" s="1" t="n">
        <v>0</v>
      </c>
      <c r="D20" s="1" t="n">
        <v>0</v>
      </c>
    </row>
    <row r="21" ht="13" customHeight="1">
      <c r="A21" s="1" t="inlineStr">
        <is>
          <t>BKK27</t>
        </is>
      </c>
      <c r="B21" s="2" t="n">
        <v>46314</v>
      </c>
      <c r="C21" s="1" t="n">
        <v>0</v>
      </c>
      <c r="D21" s="1" t="n">
        <v>0</v>
      </c>
    </row>
    <row r="22" ht="13" customHeight="1">
      <c r="A22" s="1" t="inlineStr">
        <is>
          <t>BKK27</t>
        </is>
      </c>
      <c r="B22" s="2" t="n">
        <v>46325</v>
      </c>
      <c r="C22" s="1" t="n">
        <v>0</v>
      </c>
      <c r="D22" s="1" t="n">
        <v>0</v>
      </c>
    </row>
    <row r="23" ht="13" customHeight="1">
      <c r="A23" s="1" t="inlineStr">
        <is>
          <t>BKK27</t>
        </is>
      </c>
      <c r="B23" s="2" t="n">
        <v>46323</v>
      </c>
      <c r="C23" s="1" t="n">
        <v>0</v>
      </c>
      <c r="D23" s="1" t="n">
        <v>0</v>
      </c>
    </row>
    <row r="24" ht="13" customHeight="1">
      <c r="A24" s="1" t="inlineStr">
        <is>
          <t>BKK27</t>
        </is>
      </c>
      <c r="B24" s="2" t="n">
        <v>46323</v>
      </c>
      <c r="C24" s="1" t="n">
        <v>0</v>
      </c>
      <c r="D24" s="1" t="n">
        <v>0</v>
      </c>
    </row>
    <row r="25" ht="13" customHeight="1">
      <c r="A25" s="1" t="inlineStr">
        <is>
          <t>BKK27</t>
        </is>
      </c>
      <c r="B25" s="2" t="n">
        <v>46315</v>
      </c>
      <c r="C25" s="1" t="n">
        <v>0</v>
      </c>
      <c r="D25" s="1" t="n">
        <v>0</v>
      </c>
    </row>
    <row r="26" ht="13" customHeight="1">
      <c r="A26" s="1" t="inlineStr">
        <is>
          <t>BKK27</t>
        </is>
      </c>
      <c r="B26" s="2" t="n">
        <v>46317</v>
      </c>
      <c r="C26" s="1" t="n">
        <v>0</v>
      </c>
      <c r="D26" s="1" t="n">
        <v>0</v>
      </c>
    </row>
    <row r="27" ht="13" customHeight="1">
      <c r="A27" s="1" t="inlineStr">
        <is>
          <t>BKK27</t>
        </is>
      </c>
      <c r="B27" s="2" t="n">
        <v>46326</v>
      </c>
      <c r="C27" s="1" t="n">
        <v>0</v>
      </c>
      <c r="D27" s="1" t="n">
        <v>0</v>
      </c>
    </row>
    <row r="28" ht="13" customHeight="1">
      <c r="A28" s="1" t="inlineStr">
        <is>
          <t>BKK27</t>
        </is>
      </c>
      <c r="B28" s="2" t="n">
        <v>46317</v>
      </c>
      <c r="C28" s="1" t="n">
        <v>0</v>
      </c>
      <c r="D28" s="1" t="n">
        <v>0</v>
      </c>
    </row>
    <row r="29" ht="13" customHeight="1">
      <c r="A29" s="1" t="inlineStr">
        <is>
          <t>BKK27</t>
        </is>
      </c>
      <c r="B29" s="2" t="n">
        <v>46314</v>
      </c>
      <c r="C29" s="1" t="n">
        <v>0</v>
      </c>
      <c r="D29" s="1" t="n">
        <v>0</v>
      </c>
    </row>
    <row r="30" ht="13" customHeight="1">
      <c r="A30" s="1" t="inlineStr">
        <is>
          <t>BKK27</t>
        </is>
      </c>
      <c r="B30" s="2" t="n">
        <v>46333</v>
      </c>
      <c r="C30" s="1" t="n">
        <v>0</v>
      </c>
      <c r="D30" s="1" t="n">
        <v>0</v>
      </c>
    </row>
    <row r="31" ht="13" customHeight="1">
      <c r="A31" s="1" t="inlineStr">
        <is>
          <t>BKK27</t>
        </is>
      </c>
      <c r="B31" s="2" t="n">
        <v>46333</v>
      </c>
      <c r="C31" s="1" t="n">
        <v>0</v>
      </c>
      <c r="D31" s="1" t="n">
        <v>0</v>
      </c>
    </row>
    <row r="32" ht="13" customHeight="1">
      <c r="A32" s="1" t="inlineStr">
        <is>
          <t>BKK27</t>
        </is>
      </c>
      <c r="B32" s="2" t="n">
        <v>46315</v>
      </c>
      <c r="C32" s="1" t="n">
        <v>0</v>
      </c>
      <c r="D32" s="1" t="n">
        <v>0</v>
      </c>
    </row>
    <row r="33" ht="13" customHeight="1">
      <c r="A33" s="1" t="inlineStr">
        <is>
          <t>BKK27</t>
        </is>
      </c>
      <c r="B33" s="2" t="n">
        <v>46316</v>
      </c>
      <c r="C33" s="1" t="n">
        <v>0</v>
      </c>
      <c r="D33" s="1" t="n">
        <v>0</v>
      </c>
    </row>
    <row r="34" ht="13" customHeight="1">
      <c r="A34" s="1" t="inlineStr">
        <is>
          <t>BKK27</t>
        </is>
      </c>
      <c r="B34" s="2" t="n">
        <v>46314</v>
      </c>
      <c r="C34" s="1" t="n">
        <v>0</v>
      </c>
      <c r="D34" s="1" t="n">
        <v>0</v>
      </c>
    </row>
    <row r="35" ht="13" customHeight="1">
      <c r="A35" s="1" t="inlineStr">
        <is>
          <t>BKK27</t>
        </is>
      </c>
      <c r="B35" s="2" t="n">
        <v>46319</v>
      </c>
      <c r="C35" s="1" t="n">
        <v>0</v>
      </c>
      <c r="D35" s="1" t="n">
        <v>0</v>
      </c>
    </row>
    <row r="36" ht="13" customHeight="1">
      <c r="A36" s="1" t="inlineStr">
        <is>
          <t>BKK27</t>
        </is>
      </c>
      <c r="B36" s="2" t="n">
        <v>46317</v>
      </c>
      <c r="C36" s="1" t="n">
        <v>0</v>
      </c>
      <c r="D36" s="1" t="n">
        <v>0</v>
      </c>
    </row>
    <row r="37" ht="13" customHeight="1">
      <c r="A37" s="1" t="inlineStr">
        <is>
          <t>BKK27</t>
        </is>
      </c>
      <c r="B37" s="2" t="n">
        <v>46321</v>
      </c>
      <c r="C37" s="1" t="n">
        <v>0</v>
      </c>
      <c r="D37" s="1" t="n">
        <v>0</v>
      </c>
    </row>
    <row r="38" ht="13" customHeight="1">
      <c r="A38" s="1" t="inlineStr">
        <is>
          <t>BKK27</t>
        </is>
      </c>
      <c r="B38" s="2" t="n">
        <v>46315</v>
      </c>
      <c r="C38" s="1" t="n">
        <v>0</v>
      </c>
      <c r="D38" s="1" t="n">
        <v>0</v>
      </c>
    </row>
    <row r="39" ht="13" customHeight="1">
      <c r="A39" s="1" t="inlineStr">
        <is>
          <t>BKK27</t>
        </is>
      </c>
      <c r="B39" s="2" t="n">
        <v>46331</v>
      </c>
      <c r="C39" s="1" t="n">
        <v>0</v>
      </c>
      <c r="D39" s="1" t="n">
        <v>0</v>
      </c>
    </row>
    <row r="40" ht="13" customHeight="1">
      <c r="A40" s="1" t="inlineStr">
        <is>
          <t>LCH27</t>
        </is>
      </c>
      <c r="B40" s="2" t="n">
        <v>46319</v>
      </c>
      <c r="C40" s="1" t="n">
        <v>0</v>
      </c>
      <c r="D40" s="1" t="n">
        <v>0</v>
      </c>
    </row>
    <row r="41" ht="13" customHeight="1">
      <c r="A41" s="1" t="inlineStr">
        <is>
          <t>BKK27</t>
        </is>
      </c>
      <c r="B41" s="2" t="n">
        <v>46324</v>
      </c>
      <c r="C41" s="1" t="n">
        <v>0</v>
      </c>
      <c r="D41" s="1" t="n">
        <v>0</v>
      </c>
    </row>
    <row r="42" ht="13" customHeight="1">
      <c r="A42" s="1" t="inlineStr">
        <is>
          <t>BKK27</t>
        </is>
      </c>
      <c r="B42" s="2" t="n">
        <v>46325</v>
      </c>
      <c r="C42" s="1" t="n">
        <v>0</v>
      </c>
      <c r="D42" s="1" t="n">
        <v>0</v>
      </c>
    </row>
    <row r="43" ht="13" customHeight="1">
      <c r="A43" s="1" t="inlineStr">
        <is>
          <t>BKK27</t>
        </is>
      </c>
      <c r="B43" s="2" t="n">
        <v>46317</v>
      </c>
      <c r="C43" s="1" t="n">
        <v>0</v>
      </c>
      <c r="D43" s="1" t="n">
        <v>0</v>
      </c>
    </row>
    <row r="44" ht="13" customHeight="1">
      <c r="A44" s="1" t="inlineStr">
        <is>
          <t>BKK27</t>
        </is>
      </c>
      <c r="B44" s="2" t="n">
        <v>46322</v>
      </c>
      <c r="C44" s="1" t="n">
        <v>0</v>
      </c>
      <c r="D44" s="1" t="n">
        <v>0</v>
      </c>
    </row>
    <row r="45" ht="13" customHeight="1">
      <c r="A45" s="1" t="inlineStr">
        <is>
          <t>BKK27</t>
        </is>
      </c>
      <c r="B45" s="2" t="n">
        <v>46325</v>
      </c>
      <c r="C45" s="1" t="n">
        <v>0</v>
      </c>
      <c r="D45" s="1" t="n">
        <v>0</v>
      </c>
    </row>
    <row r="46" ht="13" customHeight="1">
      <c r="A46" s="1" t="inlineStr">
        <is>
          <t>LCH27</t>
        </is>
      </c>
      <c r="B46" s="2" t="n">
        <v>46315</v>
      </c>
      <c r="C46" s="1" t="n">
        <v>0</v>
      </c>
      <c r="D46" s="1" t="n">
        <v>0</v>
      </c>
    </row>
    <row r="47" ht="13" customHeight="1">
      <c r="A47" s="1" t="inlineStr">
        <is>
          <t>BKK27</t>
        </is>
      </c>
      <c r="B47" s="2" t="n">
        <v>46330</v>
      </c>
      <c r="C47" s="1" t="n">
        <v>0</v>
      </c>
      <c r="D47" s="1" t="n">
        <v>0</v>
      </c>
    </row>
    <row r="48" ht="13" customHeight="1">
      <c r="A48" s="1" t="inlineStr">
        <is>
          <t>LCH27</t>
        </is>
      </c>
      <c r="B48" s="2" t="n">
        <v>46330</v>
      </c>
      <c r="C48" s="1" t="n">
        <v>0</v>
      </c>
      <c r="D48" s="1" t="n">
        <v>0</v>
      </c>
    </row>
    <row r="49" ht="13" customHeight="1">
      <c r="A49" s="1" t="inlineStr">
        <is>
          <t>BKK27</t>
        </is>
      </c>
      <c r="B49" s="2" t="n">
        <v>46314</v>
      </c>
      <c r="C49" s="1" t="n">
        <v>0</v>
      </c>
      <c r="D49" s="1" t="n">
        <v>0</v>
      </c>
    </row>
    <row r="50" ht="13" customHeight="1">
      <c r="A50" s="1" t="inlineStr">
        <is>
          <t>BKK27</t>
        </is>
      </c>
      <c r="B50" s="2" t="n">
        <v>46315</v>
      </c>
      <c r="C50" s="1" t="n">
        <v>0</v>
      </c>
      <c r="D50" s="1" t="n">
        <v>0</v>
      </c>
    </row>
    <row r="51" ht="13" customHeight="1">
      <c r="A51" s="1" t="inlineStr">
        <is>
          <t>LCH27</t>
        </is>
      </c>
      <c r="B51" s="2" t="n">
        <v>46321</v>
      </c>
      <c r="C51" s="1" t="n">
        <v>0</v>
      </c>
      <c r="D51" s="1" t="n">
        <v>0</v>
      </c>
    </row>
    <row r="52" ht="13" customHeight="1">
      <c r="A52" s="1" t="inlineStr">
        <is>
          <t>BKK27</t>
        </is>
      </c>
      <c r="B52" s="2" t="n">
        <v>46325</v>
      </c>
      <c r="C52" s="1" t="n">
        <v>0</v>
      </c>
      <c r="D52" s="1" t="n">
        <v>0</v>
      </c>
    </row>
    <row r="53" ht="13" customHeight="1">
      <c r="A53" s="1" t="inlineStr">
        <is>
          <t>LCH27</t>
        </is>
      </c>
      <c r="B53" s="2" t="n">
        <v>46314</v>
      </c>
      <c r="C53" s="1" t="n">
        <v>0</v>
      </c>
      <c r="D53" s="1" t="n">
        <v>0</v>
      </c>
    </row>
    <row r="54" ht="13" customHeight="1">
      <c r="A54" s="1" t="inlineStr">
        <is>
          <t>BKK27</t>
        </is>
      </c>
      <c r="B54" s="2" t="n">
        <v>46314</v>
      </c>
      <c r="C54" s="1" t="n">
        <v>0</v>
      </c>
      <c r="D54" s="1" t="n">
        <v>0</v>
      </c>
    </row>
    <row r="55" ht="13" customHeight="1">
      <c r="A55" s="1" t="inlineStr">
        <is>
          <t>BKK27</t>
        </is>
      </c>
      <c r="B55" s="2" t="n">
        <v>46322</v>
      </c>
      <c r="C55" s="1" t="n">
        <v>0</v>
      </c>
      <c r="D55" s="1" t="n">
        <v>0</v>
      </c>
    </row>
    <row r="56" ht="13" customHeight="1">
      <c r="A56" s="1" t="inlineStr">
        <is>
          <t>BKK27</t>
        </is>
      </c>
      <c r="B56" s="2" t="n">
        <v>46316</v>
      </c>
      <c r="C56" s="1" t="n">
        <v>0</v>
      </c>
      <c r="D56" s="1" t="n">
        <v>0</v>
      </c>
    </row>
    <row r="57" ht="13" customHeight="1">
      <c r="A57" s="1" t="inlineStr">
        <is>
          <t>BKK27</t>
        </is>
      </c>
      <c r="B57" s="2" t="n">
        <v>46323</v>
      </c>
      <c r="C57" s="1" t="n">
        <v>0</v>
      </c>
      <c r="D57" s="1" t="n">
        <v>0</v>
      </c>
    </row>
    <row r="58" ht="13" customHeight="1">
      <c r="A58" s="1" t="inlineStr">
        <is>
          <t>BKK27</t>
        </is>
      </c>
      <c r="B58" s="2" t="n">
        <v>46315</v>
      </c>
      <c r="C58" s="1" t="n">
        <v>0</v>
      </c>
      <c r="D58" s="1" t="n">
        <v>0</v>
      </c>
    </row>
    <row r="59" ht="13" customHeight="1">
      <c r="A59" s="1" t="inlineStr">
        <is>
          <t>BKK27</t>
        </is>
      </c>
      <c r="B59" s="2" t="n">
        <v>46322</v>
      </c>
      <c r="C59" s="1" t="n">
        <v>0</v>
      </c>
      <c r="D59" s="1" t="n">
        <v>0</v>
      </c>
    </row>
    <row r="60" ht="13" customHeight="1">
      <c r="A60" s="1" t="inlineStr">
        <is>
          <t>BKK27</t>
        </is>
      </c>
      <c r="B60" s="2" t="n">
        <v>46321</v>
      </c>
      <c r="C60" s="1" t="n">
        <v>0</v>
      </c>
      <c r="D60" s="1" t="n">
        <v>0</v>
      </c>
    </row>
    <row r="61" ht="13" customHeight="1">
      <c r="A61" s="1" t="inlineStr">
        <is>
          <t>BKK27</t>
        </is>
      </c>
      <c r="B61" s="2" t="n">
        <v>46321</v>
      </c>
      <c r="C61" s="1" t="n">
        <v>0</v>
      </c>
      <c r="D61" s="1" t="n">
        <v>0</v>
      </c>
    </row>
    <row r="62" ht="13" customHeight="1">
      <c r="A62" s="1" t="inlineStr">
        <is>
          <t>BKK27</t>
        </is>
      </c>
      <c r="B62" s="2" t="n">
        <v>46324</v>
      </c>
      <c r="C62" s="1" t="n">
        <v>0</v>
      </c>
      <c r="D62" s="1" t="n">
        <v>0</v>
      </c>
    </row>
    <row r="63" ht="13" customHeight="1">
      <c r="A63" s="1" t="inlineStr">
        <is>
          <t>BKK27</t>
        </is>
      </c>
      <c r="B63" s="2" t="n">
        <v>46316</v>
      </c>
      <c r="C63" s="1" t="n">
        <v>0</v>
      </c>
      <c r="D63" s="1" t="n">
        <v>0</v>
      </c>
    </row>
    <row r="64" ht="13" customHeight="1">
      <c r="A64" s="1" t="inlineStr">
        <is>
          <t>BKK27</t>
        </is>
      </c>
      <c r="B64" s="2" t="n">
        <v>46323</v>
      </c>
      <c r="C64" s="1" t="n">
        <v>0</v>
      </c>
      <c r="D64" s="1" t="n">
        <v>0</v>
      </c>
    </row>
    <row r="65" ht="13" customHeight="1">
      <c r="A65" s="1" t="inlineStr">
        <is>
          <t>BKK27</t>
        </is>
      </c>
      <c r="B65" s="2" t="n">
        <v>46314</v>
      </c>
      <c r="C65" s="1" t="n">
        <v>0</v>
      </c>
      <c r="D65" s="1" t="n">
        <v>0</v>
      </c>
    </row>
    <row r="66" ht="13" customHeight="1">
      <c r="A66" s="1" t="inlineStr">
        <is>
          <t>BKK27</t>
        </is>
      </c>
      <c r="B66" s="2" t="n">
        <v>46329</v>
      </c>
      <c r="C66" s="1" t="n">
        <v>0</v>
      </c>
      <c r="D66" s="1" t="n">
        <v>0</v>
      </c>
    </row>
    <row r="67" ht="13" customHeight="1">
      <c r="A67" s="1" t="inlineStr">
        <is>
          <t>BKK27</t>
        </is>
      </c>
      <c r="B67" s="2" t="n">
        <v>46326</v>
      </c>
      <c r="C67" s="1" t="n">
        <v>0</v>
      </c>
      <c r="D67" s="1" t="n">
        <v>0</v>
      </c>
    </row>
    <row r="68" ht="13" customHeight="1">
      <c r="A68" s="1" t="inlineStr">
        <is>
          <t>BKK27</t>
        </is>
      </c>
      <c r="B68" s="2" t="n">
        <v>46314</v>
      </c>
      <c r="C68" s="1" t="n">
        <v>0</v>
      </c>
      <c r="D68" s="1" t="n">
        <v>0</v>
      </c>
    </row>
    <row r="69" ht="13" customHeight="1">
      <c r="A69" s="1" t="inlineStr">
        <is>
          <t>BKK27</t>
        </is>
      </c>
      <c r="B69" s="2" t="n">
        <v>46317</v>
      </c>
      <c r="C69" s="1" t="n">
        <v>0</v>
      </c>
      <c r="D69" s="1" t="n">
        <v>0</v>
      </c>
    </row>
    <row r="70" ht="13" customHeight="1">
      <c r="A70" s="1" t="inlineStr">
        <is>
          <t>BKK27</t>
        </is>
      </c>
      <c r="B70" s="2" t="n">
        <v>46314</v>
      </c>
      <c r="C70" s="1" t="n">
        <v>0</v>
      </c>
      <c r="D70" s="1" t="n">
        <v>0</v>
      </c>
    </row>
    <row r="71" ht="13" customHeight="1">
      <c r="A71" s="1" t="inlineStr">
        <is>
          <t>BKK27</t>
        </is>
      </c>
      <c r="B71" s="2" t="n">
        <v>46317</v>
      </c>
      <c r="C71" s="1" t="n">
        <v>0</v>
      </c>
      <c r="D71" s="1" t="n">
        <v>0</v>
      </c>
    </row>
    <row r="72" ht="13" customHeight="1">
      <c r="A72" s="1" t="inlineStr">
        <is>
          <t>BKK27</t>
        </is>
      </c>
      <c r="B72" s="2" t="n">
        <v>46314</v>
      </c>
      <c r="C72" s="1" t="n">
        <v>0</v>
      </c>
      <c r="D72" s="1" t="n">
        <v>0</v>
      </c>
    </row>
    <row r="73" ht="13" customHeight="1">
      <c r="A73" s="1" t="inlineStr">
        <is>
          <t>BKK27</t>
        </is>
      </c>
      <c r="B73" s="2" t="n">
        <v>46324</v>
      </c>
      <c r="C73" s="1" t="n">
        <v>0</v>
      </c>
      <c r="D73" s="1" t="n">
        <v>0</v>
      </c>
    </row>
    <row r="74" ht="13" customHeight="1">
      <c r="A74" s="1" t="inlineStr">
        <is>
          <t>BKK27</t>
        </is>
      </c>
      <c r="B74" s="2" t="n">
        <v>46328</v>
      </c>
      <c r="C74" s="1" t="n">
        <v>0</v>
      </c>
      <c r="D74" s="1" t="n">
        <v>0</v>
      </c>
    </row>
    <row r="75" ht="13" customHeight="1">
      <c r="A75" s="1" t="inlineStr">
        <is>
          <t>BKK27</t>
        </is>
      </c>
      <c r="B75" s="2" t="n">
        <v>46325</v>
      </c>
      <c r="C75" s="1" t="n">
        <v>0</v>
      </c>
      <c r="D75" s="1" t="n">
        <v>0</v>
      </c>
    </row>
    <row r="76" ht="13" customHeight="1">
      <c r="A76" s="1" t="inlineStr">
        <is>
          <t>BKK27</t>
        </is>
      </c>
      <c r="B76" s="2" t="n">
        <v>46315</v>
      </c>
      <c r="C76" s="1" t="n">
        <v>0</v>
      </c>
      <c r="D76" s="1" t="n">
        <v>0</v>
      </c>
    </row>
    <row r="77" ht="13" customHeight="1">
      <c r="A77" s="1" t="inlineStr">
        <is>
          <t>BKK27</t>
        </is>
      </c>
      <c r="B77" s="2" t="n">
        <v>46314</v>
      </c>
      <c r="C77" s="1" t="n">
        <v>0</v>
      </c>
      <c r="D77" s="1" t="n">
        <v>0</v>
      </c>
    </row>
    <row r="78" ht="13" customHeight="1">
      <c r="A78" s="1" t="inlineStr">
        <is>
          <t>BKK27</t>
        </is>
      </c>
      <c r="B78" s="2" t="n">
        <v>46315</v>
      </c>
      <c r="C78" s="1" t="n">
        <v>0</v>
      </c>
      <c r="D78" s="1" t="n">
        <v>0</v>
      </c>
    </row>
    <row r="79" ht="13" customHeight="1">
      <c r="A79" s="1" t="inlineStr">
        <is>
          <t>BKK27</t>
        </is>
      </c>
      <c r="B79" s="2" t="n">
        <v>46324</v>
      </c>
      <c r="C79" s="1" t="n">
        <v>0</v>
      </c>
      <c r="D79" s="1" t="n">
        <v>0</v>
      </c>
    </row>
    <row r="80" ht="13" customHeight="1">
      <c r="A80" s="1" t="inlineStr">
        <is>
          <t>BKK27</t>
        </is>
      </c>
      <c r="B80" s="2" t="n">
        <v>46321</v>
      </c>
      <c r="C80" s="1" t="n">
        <v>0</v>
      </c>
      <c r="D80" s="1" t="n">
        <v>0</v>
      </c>
    </row>
    <row r="81" ht="13" customHeight="1">
      <c r="A81" s="1" t="inlineStr">
        <is>
          <t>BKK27</t>
        </is>
      </c>
      <c r="B81" s="2" t="n">
        <v>46322</v>
      </c>
      <c r="C81" s="1" t="n">
        <v>0</v>
      </c>
      <c r="D81" s="1" t="n">
        <v>0</v>
      </c>
    </row>
    <row r="82" ht="13" customHeight="1">
      <c r="A82" s="1" t="inlineStr">
        <is>
          <t>BKK27</t>
        </is>
      </c>
      <c r="B82" s="2" t="n">
        <v>46324</v>
      </c>
      <c r="C82" s="1" t="n">
        <v>0</v>
      </c>
      <c r="D82" s="1" t="n">
        <v>0</v>
      </c>
    </row>
    <row r="83" ht="13" customHeight="1">
      <c r="A83" s="1" t="inlineStr">
        <is>
          <t>BKK27</t>
        </is>
      </c>
      <c r="B83" s="2" t="n">
        <v>46321</v>
      </c>
      <c r="C83" s="1" t="n">
        <v>0</v>
      </c>
      <c r="D83" s="1" t="n">
        <v>0</v>
      </c>
    </row>
    <row r="84" ht="13" customHeight="1">
      <c r="A84" s="1" t="inlineStr">
        <is>
          <t>BKK27</t>
        </is>
      </c>
      <c r="B84" s="2" t="n">
        <v>46317</v>
      </c>
      <c r="C84" s="1" t="n">
        <v>0</v>
      </c>
      <c r="D84" s="1" t="n">
        <v>0</v>
      </c>
    </row>
    <row r="85" ht="13" customHeight="1">
      <c r="A85" s="1" t="inlineStr">
        <is>
          <t>BKK27</t>
        </is>
      </c>
      <c r="B85" s="2" t="n">
        <v>46314</v>
      </c>
      <c r="C85" s="1" t="n">
        <v>0</v>
      </c>
      <c r="D85" s="1" t="n">
        <v>0</v>
      </c>
    </row>
    <row r="86" ht="13" customHeight="1">
      <c r="A86" s="1" t="inlineStr">
        <is>
          <t>BKK27</t>
        </is>
      </c>
      <c r="B86" s="2" t="n">
        <v>46314</v>
      </c>
      <c r="C86" s="1" t="n">
        <v>0</v>
      </c>
      <c r="D86" s="1" t="n">
        <v>0</v>
      </c>
    </row>
    <row r="87" ht="13" customHeight="1">
      <c r="A87" s="1" t="inlineStr">
        <is>
          <t>BKK27</t>
        </is>
      </c>
      <c r="B87" s="2" t="n">
        <v>46319</v>
      </c>
      <c r="C87" s="1" t="n">
        <v>0</v>
      </c>
      <c r="D87" s="1" t="n">
        <v>0</v>
      </c>
    </row>
    <row r="88" ht="13" customHeight="1">
      <c r="A88" s="1" t="inlineStr">
        <is>
          <t>BKK27</t>
        </is>
      </c>
      <c r="B88" s="2" t="n">
        <v>46315</v>
      </c>
      <c r="C88" s="1" t="n">
        <v>0</v>
      </c>
      <c r="D88" s="1" t="n">
        <v>0</v>
      </c>
    </row>
    <row r="89" ht="13" customHeight="1">
      <c r="A89" s="1" t="inlineStr">
        <is>
          <t>BKK27</t>
        </is>
      </c>
      <c r="B89" s="2" t="n">
        <v>46322</v>
      </c>
      <c r="C89" s="1" t="n">
        <v>0</v>
      </c>
      <c r="D89" s="1" t="n">
        <v>0</v>
      </c>
    </row>
    <row r="90" ht="13" customHeight="1">
      <c r="A90" s="1" t="inlineStr">
        <is>
          <t>BKK27</t>
        </is>
      </c>
      <c r="B90" s="2" t="n">
        <v>46325</v>
      </c>
      <c r="C90" s="1" t="n">
        <v>0</v>
      </c>
      <c r="D90" s="1" t="n">
        <v>0</v>
      </c>
    </row>
    <row r="91" ht="13" customHeight="1">
      <c r="A91" s="1" t="inlineStr">
        <is>
          <t>BKK27</t>
        </is>
      </c>
      <c r="B91" s="2" t="n">
        <v>46331</v>
      </c>
      <c r="C91" s="1" t="n">
        <v>0</v>
      </c>
      <c r="D91" s="1" t="n">
        <v>0</v>
      </c>
    </row>
    <row r="92" ht="13" customHeight="1">
      <c r="A92" s="1" t="inlineStr">
        <is>
          <t>LCH27</t>
        </is>
      </c>
      <c r="B92" s="2" t="n">
        <v>46321</v>
      </c>
      <c r="C92" s="1" t="n">
        <v>0</v>
      </c>
      <c r="D92" s="1" t="n">
        <v>0</v>
      </c>
    </row>
    <row r="93" ht="13" customHeight="1">
      <c r="A93" s="1" t="inlineStr">
        <is>
          <t>BKK27</t>
        </is>
      </c>
      <c r="B93" s="2" t="n">
        <v>46319</v>
      </c>
      <c r="C93" s="1" t="n">
        <v>0</v>
      </c>
      <c r="D93" s="1" t="n">
        <v>0</v>
      </c>
    </row>
    <row r="94" ht="13" customHeight="1">
      <c r="A94" s="1" t="inlineStr">
        <is>
          <t>BKK27</t>
        </is>
      </c>
      <c r="B94" s="2" t="n">
        <v>46323</v>
      </c>
      <c r="C94" s="1" t="n">
        <v>0</v>
      </c>
      <c r="D94" s="1" t="n">
        <v>0</v>
      </c>
    </row>
    <row r="95" ht="13" customHeight="1">
      <c r="A95" s="1" t="inlineStr">
        <is>
          <t>BKK27</t>
        </is>
      </c>
      <c r="B95" s="2" t="n">
        <v>46317</v>
      </c>
      <c r="C95" s="1" t="n">
        <v>0</v>
      </c>
      <c r="D95" s="1" t="n">
        <v>0</v>
      </c>
    </row>
    <row r="96" ht="13" customHeight="1">
      <c r="A96" s="1" t="inlineStr">
        <is>
          <t>BKK27</t>
        </is>
      </c>
      <c r="B96" s="2" t="n">
        <v>46317</v>
      </c>
      <c r="C96" s="1" t="n">
        <v>0</v>
      </c>
      <c r="D96" s="1" t="n">
        <v>0</v>
      </c>
    </row>
    <row r="97" ht="13" customHeight="1">
      <c r="A97" s="1" t="inlineStr">
        <is>
          <t>LCH27</t>
        </is>
      </c>
      <c r="B97" s="2" t="n">
        <v>46315</v>
      </c>
      <c r="C97" s="1" t="n">
        <v>0</v>
      </c>
      <c r="D97" s="1" t="n">
        <v>0</v>
      </c>
    </row>
    <row r="98" ht="13" customHeight="1">
      <c r="A98" s="1" t="inlineStr">
        <is>
          <t>BKK27</t>
        </is>
      </c>
      <c r="B98" s="2" t="n">
        <v>46324</v>
      </c>
      <c r="C98" s="1" t="n">
        <v>0</v>
      </c>
      <c r="D98" s="1" t="n">
        <v>0</v>
      </c>
    </row>
    <row r="99" ht="13" customHeight="1">
      <c r="A99" s="1" t="inlineStr">
        <is>
          <t>LCH27</t>
        </is>
      </c>
      <c r="B99" s="2" t="n">
        <v>46317</v>
      </c>
      <c r="C99" s="1" t="n">
        <v>0</v>
      </c>
      <c r="D99" s="1" t="n">
        <v>0</v>
      </c>
    </row>
    <row r="100" ht="13" customHeight="1">
      <c r="A100" s="1" t="inlineStr">
        <is>
          <t>BKK27</t>
        </is>
      </c>
      <c r="B100" s="2" t="n">
        <v>46322</v>
      </c>
      <c r="C100" s="1" t="n">
        <v>0</v>
      </c>
      <c r="D100" s="1" t="n">
        <v>0</v>
      </c>
    </row>
    <row r="101" ht="13" customHeight="1">
      <c r="A101" s="1" t="inlineStr">
        <is>
          <t>BKK27</t>
        </is>
      </c>
      <c r="B101" s="2" t="n">
        <v>46323</v>
      </c>
      <c r="C101" s="1" t="n">
        <v>0</v>
      </c>
      <c r="D101" s="1" t="n">
        <v>0</v>
      </c>
    </row>
    <row r="102" ht="13" customHeight="1">
      <c r="A102" s="1" t="inlineStr">
        <is>
          <t>BKK27</t>
        </is>
      </c>
      <c r="B102" s="2" t="n">
        <v>46322</v>
      </c>
      <c r="C102" s="1" t="n">
        <v>0</v>
      </c>
      <c r="D102" s="1" t="n">
        <v>0</v>
      </c>
    </row>
    <row r="103" ht="13" customHeight="1">
      <c r="A103" s="1" t="inlineStr">
        <is>
          <t>LCH27</t>
        </is>
      </c>
      <c r="B103" s="2" t="n">
        <v>46316</v>
      </c>
      <c r="C103" s="1" t="n">
        <v>0</v>
      </c>
      <c r="D103" s="1" t="n">
        <v>0</v>
      </c>
    </row>
    <row r="104" ht="13" customHeight="1">
      <c r="A104" s="1" t="inlineStr">
        <is>
          <t>BKK27</t>
        </is>
      </c>
      <c r="B104" s="2" t="n">
        <v>46331</v>
      </c>
      <c r="C104" s="1" t="n">
        <v>0</v>
      </c>
      <c r="D104" s="1" t="n">
        <v>0</v>
      </c>
    </row>
    <row r="105" ht="13" customHeight="1">
      <c r="A105" s="1" t="inlineStr">
        <is>
          <t>BKK27</t>
        </is>
      </c>
      <c r="B105" s="2" t="n">
        <v>46317</v>
      </c>
      <c r="C105" s="1" t="n">
        <v>0</v>
      </c>
      <c r="D105" s="1" t="n">
        <v>0</v>
      </c>
    </row>
    <row r="106" ht="13" customHeight="1">
      <c r="A106" s="1" t="inlineStr">
        <is>
          <t>LCH27</t>
        </is>
      </c>
      <c r="B106" s="2" t="n">
        <v>46314</v>
      </c>
      <c r="C106" s="1" t="n">
        <v>0</v>
      </c>
      <c r="D106" s="1" t="n">
        <v>0</v>
      </c>
    </row>
    <row r="107" ht="13" customHeight="1">
      <c r="A107" s="1" t="inlineStr">
        <is>
          <t>LCH27</t>
        </is>
      </c>
      <c r="B107" s="2" t="n">
        <v>46321</v>
      </c>
      <c r="C107" s="1" t="n">
        <v>0</v>
      </c>
      <c r="D107" s="1" t="n">
        <v>0</v>
      </c>
    </row>
    <row r="108" ht="13" customHeight="1">
      <c r="A108" s="1" t="inlineStr">
        <is>
          <t>BKK27</t>
        </is>
      </c>
      <c r="B108" s="2" t="n">
        <v>46317</v>
      </c>
      <c r="C108" s="1" t="n">
        <v>0</v>
      </c>
      <c r="D108" s="1" t="n">
        <v>0</v>
      </c>
    </row>
    <row r="109" ht="13" customHeight="1">
      <c r="A109" s="1" t="inlineStr">
        <is>
          <t>BKK27</t>
        </is>
      </c>
      <c r="B109" s="2" t="n">
        <v>46324</v>
      </c>
      <c r="C109" s="1" t="n">
        <v>0</v>
      </c>
      <c r="D109" s="1" t="n">
        <v>0</v>
      </c>
    </row>
    <row r="110" ht="13" customHeight="1">
      <c r="A110" s="1" t="inlineStr">
        <is>
          <t>BKK27</t>
        </is>
      </c>
      <c r="B110" s="2" t="n">
        <v>46328</v>
      </c>
      <c r="C110" s="1" t="n">
        <v>0</v>
      </c>
      <c r="D110" s="1" t="n">
        <v>0</v>
      </c>
    </row>
    <row r="111" ht="13" customHeight="1">
      <c r="A111" s="1" t="inlineStr">
        <is>
          <t>BKK27</t>
        </is>
      </c>
      <c r="B111" s="2" t="n">
        <v>46322</v>
      </c>
      <c r="C111" s="1" t="n">
        <v>0</v>
      </c>
      <c r="D111" s="1" t="n">
        <v>0</v>
      </c>
    </row>
    <row r="112" ht="13" customHeight="1">
      <c r="A112" s="1" t="inlineStr">
        <is>
          <t>LCH27</t>
        </is>
      </c>
      <c r="B112" s="2" t="n">
        <v>46328</v>
      </c>
      <c r="C112" s="1" t="n">
        <v>0</v>
      </c>
      <c r="D112" s="1" t="n">
        <v>0</v>
      </c>
    </row>
    <row r="113" ht="13" customHeight="1">
      <c r="A113" s="1" t="inlineStr">
        <is>
          <t>BKK27</t>
        </is>
      </c>
      <c r="B113" s="2" t="n">
        <v>46317</v>
      </c>
      <c r="C113" s="1" t="n">
        <v>0</v>
      </c>
      <c r="D113" s="1" t="n">
        <v>0</v>
      </c>
    </row>
    <row r="114" ht="13" customHeight="1">
      <c r="A114" s="1" t="inlineStr">
        <is>
          <t>BKK27</t>
        </is>
      </c>
      <c r="B114" s="2" t="n">
        <v>46317</v>
      </c>
      <c r="C114" s="1" t="n">
        <v>0</v>
      </c>
      <c r="D114" s="1" t="n">
        <v>0</v>
      </c>
    </row>
    <row r="115" ht="13" customHeight="1">
      <c r="A115" s="1" t="inlineStr">
        <is>
          <t>BKK27</t>
        </is>
      </c>
      <c r="B115" s="2" t="n">
        <v>46331</v>
      </c>
      <c r="C115" s="1" t="n">
        <v>0</v>
      </c>
      <c r="D115" s="1" t="n">
        <v>0</v>
      </c>
    </row>
    <row r="116" ht="13" customHeight="1">
      <c r="A116" s="1" t="inlineStr">
        <is>
          <t>BKK27</t>
        </is>
      </c>
      <c r="B116" s="2" t="n">
        <v>46329</v>
      </c>
      <c r="C116" s="1" t="n">
        <v>0</v>
      </c>
      <c r="D116" s="1" t="n">
        <v>0</v>
      </c>
    </row>
    <row r="117" ht="13" customHeight="1">
      <c r="A117" s="1" t="inlineStr">
        <is>
          <t>BKK27</t>
        </is>
      </c>
      <c r="B117" s="2" t="n">
        <v>46328</v>
      </c>
      <c r="C117" s="1" t="n">
        <v>0</v>
      </c>
      <c r="D117" s="1" t="n">
        <v>0</v>
      </c>
    </row>
    <row r="118" ht="13" customHeight="1">
      <c r="A118" s="1" t="inlineStr">
        <is>
          <t>BKK27</t>
        </is>
      </c>
      <c r="B118" s="2" t="n">
        <v>46323</v>
      </c>
      <c r="C118" s="1" t="n">
        <v>0</v>
      </c>
      <c r="D118" s="1" t="n">
        <v>0</v>
      </c>
    </row>
    <row r="119" ht="13" customHeight="1">
      <c r="A119" s="1" t="inlineStr">
        <is>
          <t>LCH27</t>
        </is>
      </c>
      <c r="B119" s="2" t="n">
        <v>46319</v>
      </c>
      <c r="C119" s="1" t="n">
        <v>0</v>
      </c>
      <c r="D119" s="1" t="n">
        <v>0</v>
      </c>
    </row>
    <row r="120" ht="13" customHeight="1">
      <c r="A120" s="1" t="inlineStr">
        <is>
          <t>BKK27</t>
        </is>
      </c>
      <c r="B120" s="2" t="n">
        <v>46314</v>
      </c>
      <c r="C120" s="1" t="n">
        <v>0</v>
      </c>
      <c r="D120" s="1" t="n">
        <v>0</v>
      </c>
    </row>
    <row r="121" ht="13" customHeight="1">
      <c r="A121" s="1" t="inlineStr">
        <is>
          <t>LCH27</t>
        </is>
      </c>
      <c r="B121" s="2" t="n">
        <v>46314</v>
      </c>
      <c r="C121" s="1" t="n">
        <v>0</v>
      </c>
      <c r="D121" s="1" t="n">
        <v>0</v>
      </c>
    </row>
    <row r="122" ht="13" customHeight="1">
      <c r="A122" s="1" t="inlineStr">
        <is>
          <t>BKK27</t>
        </is>
      </c>
      <c r="B122" s="2" t="n">
        <v>46315</v>
      </c>
      <c r="C122" s="1" t="n">
        <v>0</v>
      </c>
      <c r="D122" s="1" t="n">
        <v>0</v>
      </c>
    </row>
    <row r="123" ht="13" customHeight="1">
      <c r="A123" s="1" t="inlineStr">
        <is>
          <t>BKK27</t>
        </is>
      </c>
      <c r="B123" s="2" t="n">
        <v>46331</v>
      </c>
      <c r="C123" s="1" t="n">
        <v>0</v>
      </c>
      <c r="D123" s="1" t="n">
        <v>0</v>
      </c>
    </row>
    <row r="124" ht="13" customHeight="1">
      <c r="A124" s="1" t="inlineStr">
        <is>
          <t>BKK27</t>
        </is>
      </c>
      <c r="B124" s="2" t="n">
        <v>46316</v>
      </c>
      <c r="C124" s="1" t="n">
        <v>0</v>
      </c>
      <c r="D124" s="1" t="n">
        <v>0</v>
      </c>
    </row>
    <row r="125" ht="13" customHeight="1">
      <c r="A125" s="1" t="inlineStr">
        <is>
          <t>BKK27</t>
        </is>
      </c>
      <c r="B125" s="2" t="n">
        <v>46315</v>
      </c>
      <c r="C125" s="1" t="n">
        <v>0</v>
      </c>
      <c r="D125" s="1" t="n">
        <v>0</v>
      </c>
    </row>
    <row r="126" ht="13" customHeight="1">
      <c r="A126" s="1" t="inlineStr">
        <is>
          <t>BKK27</t>
        </is>
      </c>
      <c r="B126" s="2" t="n">
        <v>46319</v>
      </c>
      <c r="C126" s="1" t="n">
        <v>0</v>
      </c>
      <c r="D126" s="1" t="n">
        <v>0</v>
      </c>
    </row>
    <row r="127" ht="13" customHeight="1">
      <c r="A127" s="1" t="inlineStr">
        <is>
          <t>BKK27</t>
        </is>
      </c>
      <c r="B127" s="2" t="n">
        <v>46317</v>
      </c>
      <c r="C127" s="1" t="n">
        <v>0</v>
      </c>
      <c r="D127" s="1" t="n">
        <v>0</v>
      </c>
    </row>
    <row r="128" ht="13" customHeight="1">
      <c r="A128" s="1" t="inlineStr">
        <is>
          <t>LCH27</t>
        </is>
      </c>
      <c r="B128" s="2" t="n">
        <v>46331</v>
      </c>
      <c r="C128" s="1" t="n">
        <v>0</v>
      </c>
      <c r="D128" s="1" t="n">
        <v>0</v>
      </c>
    </row>
    <row r="129" ht="13" customHeight="1">
      <c r="A129" s="1" t="inlineStr">
        <is>
          <t>BKK27</t>
        </is>
      </c>
      <c r="B129" s="2" t="n">
        <v>46315</v>
      </c>
      <c r="C129" s="1" t="n">
        <v>0</v>
      </c>
      <c r="D129" s="1" t="n">
        <v>0</v>
      </c>
    </row>
    <row r="130" ht="13" customHeight="1">
      <c r="A130" s="1" t="inlineStr">
        <is>
          <t>BKK27</t>
        </is>
      </c>
      <c r="B130" s="2" t="n">
        <v>46331</v>
      </c>
      <c r="C130" s="1" t="n">
        <v>0</v>
      </c>
      <c r="D130" s="1" t="n">
        <v>0</v>
      </c>
    </row>
    <row r="131" ht="13" customHeight="1">
      <c r="A131" s="1" t="inlineStr">
        <is>
          <t>BKK27</t>
        </is>
      </c>
      <c r="B131" s="2" t="n">
        <v>46329</v>
      </c>
      <c r="C131" s="1" t="n">
        <v>0</v>
      </c>
      <c r="D131" s="1" t="n">
        <v>0</v>
      </c>
    </row>
    <row r="132" ht="13" customHeight="1">
      <c r="A132" s="1" t="inlineStr">
        <is>
          <t>LCH27</t>
        </is>
      </c>
      <c r="B132" s="2" t="n">
        <v>46314</v>
      </c>
      <c r="C132" s="1" t="n">
        <v>0</v>
      </c>
      <c r="D132" s="1" t="n">
        <v>0</v>
      </c>
    </row>
    <row r="133" ht="13" customHeight="1">
      <c r="A133" s="1" t="inlineStr">
        <is>
          <t>LCH27</t>
        </is>
      </c>
      <c r="B133" s="2" t="n">
        <v>46324</v>
      </c>
      <c r="C133" s="1" t="n">
        <v>0</v>
      </c>
      <c r="D133" s="1" t="n">
        <v>0</v>
      </c>
    </row>
    <row r="134" ht="13" customHeight="1">
      <c r="A134" s="1" t="inlineStr">
        <is>
          <t>BKK27</t>
        </is>
      </c>
      <c r="B134" s="2" t="n">
        <v>46317</v>
      </c>
      <c r="C134" s="1" t="n">
        <v>0</v>
      </c>
      <c r="D134" s="1" t="n">
        <v>0</v>
      </c>
    </row>
    <row r="135" ht="13" customHeight="1">
      <c r="A135" s="1" t="inlineStr">
        <is>
          <t>LCH27</t>
        </is>
      </c>
      <c r="B135" s="2" t="n">
        <v>46317</v>
      </c>
      <c r="C135" s="1" t="n">
        <v>0</v>
      </c>
      <c r="D135" s="1" t="n">
        <v>0</v>
      </c>
    </row>
    <row r="136" ht="13" customHeight="1">
      <c r="A136" s="1" t="inlineStr">
        <is>
          <t>LCH27</t>
        </is>
      </c>
      <c r="B136" s="2" t="n">
        <v>46329</v>
      </c>
      <c r="C136" s="1" t="n">
        <v>0</v>
      </c>
      <c r="D136" s="1" t="n">
        <v>0</v>
      </c>
    </row>
    <row r="137" ht="13" customHeight="1">
      <c r="A137" s="1" t="inlineStr">
        <is>
          <t>BKK27</t>
        </is>
      </c>
      <c r="B137" s="2" t="n">
        <v>46331</v>
      </c>
      <c r="C137" s="1" t="n">
        <v>0</v>
      </c>
      <c r="D137" s="1" t="n">
        <v>0</v>
      </c>
    </row>
    <row r="138" ht="13" customHeight="1">
      <c r="A138" s="1" t="inlineStr">
        <is>
          <t>BKK27</t>
        </is>
      </c>
      <c r="B138" s="2" t="n">
        <v>46317</v>
      </c>
      <c r="C138" s="1" t="n">
        <v>0</v>
      </c>
      <c r="D138" s="1" t="n">
        <v>0</v>
      </c>
    </row>
    <row r="139" ht="13" customHeight="1">
      <c r="A139" s="1" t="inlineStr">
        <is>
          <t>BKK27</t>
        </is>
      </c>
      <c r="B139" s="2" t="n">
        <v>46322</v>
      </c>
      <c r="C139" s="1" t="n">
        <v>0</v>
      </c>
      <c r="D139" s="1" t="n">
        <v>0</v>
      </c>
    </row>
    <row r="140" ht="13" customHeight="1">
      <c r="A140" s="1" t="inlineStr">
        <is>
          <t>BKK27</t>
        </is>
      </c>
      <c r="B140" s="2" t="n">
        <v>46319</v>
      </c>
      <c r="C140" s="1" t="n">
        <v>0</v>
      </c>
      <c r="D140" s="1" t="n">
        <v>0</v>
      </c>
    </row>
    <row r="141" ht="13" customHeight="1">
      <c r="A141" s="1" t="inlineStr">
        <is>
          <t>BKK27</t>
        </is>
      </c>
      <c r="B141" s="2" t="n">
        <v>46321</v>
      </c>
      <c r="C141" s="1" t="n">
        <v>0</v>
      </c>
      <c r="D141" s="1" t="n">
        <v>0</v>
      </c>
    </row>
    <row r="142" ht="13" customHeight="1">
      <c r="A142" s="1" t="inlineStr">
        <is>
          <t>BKK27</t>
        </is>
      </c>
      <c r="B142" s="2" t="n">
        <v>46317</v>
      </c>
      <c r="C142" s="1" t="n">
        <v>0</v>
      </c>
      <c r="D142" s="1" t="n">
        <v>0</v>
      </c>
    </row>
    <row r="143" ht="13" customHeight="1">
      <c r="A143" s="1" t="inlineStr">
        <is>
          <t>LCH27</t>
        </is>
      </c>
      <c r="B143" s="2" t="n">
        <v>46317</v>
      </c>
      <c r="C143" s="1" t="n">
        <v>0</v>
      </c>
      <c r="D143" s="1" t="n">
        <v>0</v>
      </c>
    </row>
    <row r="144" ht="13" customHeight="1">
      <c r="A144" s="1" t="inlineStr">
        <is>
          <t>LCH27</t>
        </is>
      </c>
      <c r="B144" s="2" t="n">
        <v>46316</v>
      </c>
      <c r="C144" s="1" t="n">
        <v>0</v>
      </c>
      <c r="D144" s="1" t="n">
        <v>0</v>
      </c>
    </row>
    <row r="145" ht="13" customHeight="1">
      <c r="A145" s="1" t="inlineStr">
        <is>
          <t>BKK27</t>
        </is>
      </c>
      <c r="B145" s="2" t="n">
        <v>46328</v>
      </c>
      <c r="C145" s="1" t="n">
        <v>0</v>
      </c>
      <c r="D145" s="1" t="n">
        <v>0</v>
      </c>
    </row>
    <row r="146" ht="13" customHeight="1">
      <c r="A146" s="1" t="inlineStr">
        <is>
          <t>BKK27</t>
        </is>
      </c>
      <c r="B146" s="2" t="n">
        <v>46322</v>
      </c>
      <c r="C146" s="1" t="n">
        <v>0</v>
      </c>
      <c r="D146" s="1" t="n">
        <v>0</v>
      </c>
    </row>
    <row r="147" ht="13" customHeight="1">
      <c r="A147" s="1" t="inlineStr">
        <is>
          <t>BKK27</t>
        </is>
      </c>
      <c r="B147" s="2" t="n">
        <v>46315</v>
      </c>
      <c r="C147" s="1" t="n">
        <v>0</v>
      </c>
      <c r="D147" s="1" t="n">
        <v>0</v>
      </c>
    </row>
    <row r="148" ht="13" customHeight="1">
      <c r="A148" s="1" t="inlineStr">
        <is>
          <t>BKK27</t>
        </is>
      </c>
      <c r="B148" s="2" t="n">
        <v>46326</v>
      </c>
      <c r="C148" s="1" t="n">
        <v>0</v>
      </c>
      <c r="D148" s="1" t="n">
        <v>0</v>
      </c>
    </row>
    <row r="149" ht="13" customHeight="1">
      <c r="A149" s="1" t="inlineStr">
        <is>
          <t>BKK27</t>
        </is>
      </c>
      <c r="B149" s="2" t="n">
        <v>46319</v>
      </c>
      <c r="C149" s="1" t="n">
        <v>0</v>
      </c>
      <c r="D149" s="1" t="n">
        <v>0</v>
      </c>
    </row>
    <row r="150" ht="13" customHeight="1">
      <c r="A150" s="1" t="inlineStr">
        <is>
          <t>BKK27</t>
        </is>
      </c>
      <c r="B150" s="2" t="n">
        <v>46315</v>
      </c>
      <c r="C150" s="1" t="n">
        <v>0</v>
      </c>
      <c r="D150" s="1" t="n">
        <v>0</v>
      </c>
    </row>
    <row r="151" ht="13" customHeight="1">
      <c r="A151" s="1" t="inlineStr">
        <is>
          <t>BKK27</t>
        </is>
      </c>
      <c r="B151" s="2" t="n">
        <v>46314</v>
      </c>
      <c r="C151" s="1" t="n">
        <v>0</v>
      </c>
      <c r="D151" s="1" t="n">
        <v>0</v>
      </c>
    </row>
    <row r="152" ht="13" customHeight="1">
      <c r="A152" s="1" t="inlineStr">
        <is>
          <t>BKK27</t>
        </is>
      </c>
      <c r="B152" s="2" t="n">
        <v>46314</v>
      </c>
      <c r="C152" s="1" t="n">
        <v>0</v>
      </c>
      <c r="D152" s="1" t="n">
        <v>0</v>
      </c>
    </row>
    <row r="153" ht="13" customHeight="1">
      <c r="A153" s="1" t="inlineStr">
        <is>
          <t>LCH27</t>
        </is>
      </c>
      <c r="B153" s="2" t="n">
        <v>46315</v>
      </c>
      <c r="C153" s="1" t="n">
        <v>0</v>
      </c>
      <c r="D153" s="1" t="n">
        <v>0</v>
      </c>
    </row>
    <row r="154" ht="13" customHeight="1">
      <c r="A154" s="1" t="inlineStr">
        <is>
          <t>BKK27</t>
        </is>
      </c>
      <c r="B154" s="2" t="n">
        <v>46329</v>
      </c>
      <c r="C154" s="1" t="n">
        <v>0</v>
      </c>
      <c r="D154" s="1" t="n">
        <v>0</v>
      </c>
    </row>
    <row r="155" ht="13" customHeight="1">
      <c r="A155" s="1" t="inlineStr">
        <is>
          <t>LCH27</t>
        </is>
      </c>
      <c r="B155" s="2" t="n">
        <v>46322</v>
      </c>
      <c r="C155" s="1" t="n">
        <v>0</v>
      </c>
      <c r="D155" s="1" t="n">
        <v>0</v>
      </c>
    </row>
    <row r="156" ht="13" customHeight="1">
      <c r="A156" s="1" t="inlineStr">
        <is>
          <t>BKK27</t>
        </is>
      </c>
      <c r="B156" s="2" t="n">
        <v>46314</v>
      </c>
      <c r="C156" s="1" t="n">
        <v>0</v>
      </c>
      <c r="D156" s="1" t="n">
        <v>0</v>
      </c>
    </row>
    <row r="157" ht="13" customHeight="1">
      <c r="A157" s="1" t="inlineStr">
        <is>
          <t>BKK27</t>
        </is>
      </c>
      <c r="B157" s="2" t="n">
        <v>46319</v>
      </c>
      <c r="C157" s="1" t="n">
        <v>0</v>
      </c>
      <c r="D157" s="1" t="n">
        <v>0</v>
      </c>
    </row>
    <row r="158" ht="13" customHeight="1">
      <c r="A158" s="1" t="inlineStr">
        <is>
          <t>LCH27</t>
        </is>
      </c>
      <c r="B158" s="2" t="n">
        <v>46314</v>
      </c>
      <c r="C158" s="1" t="n">
        <v>0</v>
      </c>
      <c r="D158" s="1" t="n">
        <v>0</v>
      </c>
    </row>
    <row r="159" ht="13" customHeight="1">
      <c r="A159" s="1" t="inlineStr">
        <is>
          <t>LCH27</t>
        </is>
      </c>
      <c r="B159" s="2" t="n">
        <v>46316</v>
      </c>
      <c r="C159" s="1" t="n">
        <v>0</v>
      </c>
      <c r="D159" s="1" t="n">
        <v>0</v>
      </c>
    </row>
    <row r="160" ht="13" customHeight="1">
      <c r="A160" s="1" t="inlineStr">
        <is>
          <t>BKK27</t>
        </is>
      </c>
      <c r="B160" s="2" t="n">
        <v>46315</v>
      </c>
      <c r="C160" s="1" t="n">
        <v>0</v>
      </c>
      <c r="D160" s="1" t="n">
        <v>0</v>
      </c>
    </row>
    <row r="161" ht="13" customHeight="1">
      <c r="A161" s="1" t="inlineStr">
        <is>
          <t>BKK27</t>
        </is>
      </c>
      <c r="B161" s="2" t="n">
        <v>46315</v>
      </c>
      <c r="C161" s="1" t="n">
        <v>0</v>
      </c>
      <c r="D161" s="1" t="n">
        <v>0</v>
      </c>
    </row>
    <row r="162" ht="13" customHeight="1">
      <c r="A162" s="1" t="inlineStr">
        <is>
          <t>BKK27</t>
        </is>
      </c>
      <c r="B162" s="2" t="n">
        <v>46315</v>
      </c>
      <c r="C162" s="1" t="n">
        <v>0</v>
      </c>
      <c r="D162" s="1" t="n">
        <v>0</v>
      </c>
    </row>
    <row r="163" ht="13" customHeight="1">
      <c r="A163" s="1" t="inlineStr">
        <is>
          <t>BKK27</t>
        </is>
      </c>
      <c r="B163" s="2" t="n">
        <v>46323</v>
      </c>
      <c r="C163" s="1" t="n">
        <v>0</v>
      </c>
      <c r="D163" s="1" t="n">
        <v>0</v>
      </c>
    </row>
    <row r="164" ht="13" customHeight="1">
      <c r="A164" s="1" t="inlineStr">
        <is>
          <t>BKK27</t>
        </is>
      </c>
      <c r="B164" s="2" t="n">
        <v>46324</v>
      </c>
      <c r="C164" s="1" t="n">
        <v>0</v>
      </c>
      <c r="D164" s="1" t="n">
        <v>0</v>
      </c>
    </row>
    <row r="165" ht="13" customHeight="1">
      <c r="A165" s="1" t="inlineStr">
        <is>
          <t>BKK27</t>
        </is>
      </c>
      <c r="B165" s="2" t="n">
        <v>46322</v>
      </c>
      <c r="C165" s="1" t="n">
        <v>0</v>
      </c>
      <c r="D165" s="1" t="n">
        <v>0</v>
      </c>
    </row>
    <row r="166" ht="13" customHeight="1">
      <c r="A166" s="1" t="inlineStr">
        <is>
          <t>BKK27</t>
        </is>
      </c>
      <c r="B166" s="2" t="n">
        <v>46316</v>
      </c>
      <c r="C166" s="1" t="n">
        <v>0</v>
      </c>
      <c r="D166" s="1" t="n">
        <v>0</v>
      </c>
    </row>
    <row r="167" ht="13" customHeight="1">
      <c r="A167" s="1" t="inlineStr">
        <is>
          <t>BKK27</t>
        </is>
      </c>
      <c r="B167" s="2" t="n">
        <v>46321</v>
      </c>
      <c r="C167" s="1" t="n">
        <v>0</v>
      </c>
      <c r="D167" s="1" t="n">
        <v>0</v>
      </c>
    </row>
    <row r="168" ht="13" customHeight="1">
      <c r="A168" s="1" t="inlineStr">
        <is>
          <t>BKK27</t>
        </is>
      </c>
      <c r="B168" s="2" t="n">
        <v>46314</v>
      </c>
      <c r="C168" s="1" t="n">
        <v>0</v>
      </c>
      <c r="D168" s="1" t="n">
        <v>0</v>
      </c>
    </row>
    <row r="169" ht="13" customHeight="1">
      <c r="A169" s="1" t="inlineStr">
        <is>
          <t>LCH27</t>
        </is>
      </c>
      <c r="B169" s="2" t="n">
        <v>46316</v>
      </c>
      <c r="C169" s="1" t="n">
        <v>0</v>
      </c>
      <c r="D169" s="1" t="n">
        <v>0</v>
      </c>
    </row>
    <row r="170" ht="13" customHeight="1">
      <c r="A170" s="1" t="inlineStr">
        <is>
          <t>BKK27</t>
        </is>
      </c>
      <c r="B170" s="2" t="n">
        <v>46322</v>
      </c>
      <c r="C170" s="1" t="n">
        <v>0</v>
      </c>
      <c r="D170" s="1" t="n">
        <v>0</v>
      </c>
    </row>
    <row r="171" ht="13" customHeight="1">
      <c r="A171" s="1" t="inlineStr">
        <is>
          <t>BKK27</t>
        </is>
      </c>
      <c r="B171" s="2" t="n">
        <v>46315</v>
      </c>
      <c r="C171" s="1" t="n">
        <v>0</v>
      </c>
      <c r="D171" s="1" t="n">
        <v>0</v>
      </c>
    </row>
    <row r="172" ht="13" customHeight="1">
      <c r="A172" s="1" t="inlineStr">
        <is>
          <t>BKK27</t>
        </is>
      </c>
      <c r="B172" s="2" t="n">
        <v>46329</v>
      </c>
      <c r="C172" s="1" t="n">
        <v>0</v>
      </c>
      <c r="D172" s="1" t="n">
        <v>0</v>
      </c>
    </row>
    <row r="173" ht="13" customHeight="1">
      <c r="A173" s="1" t="inlineStr">
        <is>
          <t>BKK27</t>
        </is>
      </c>
      <c r="B173" s="2" t="n">
        <v>46329</v>
      </c>
      <c r="C173" s="1" t="n">
        <v>0</v>
      </c>
      <c r="D173" s="1" t="n">
        <v>0</v>
      </c>
    </row>
    <row r="174" ht="13" customHeight="1">
      <c r="A174" s="1" t="inlineStr">
        <is>
          <t>BKK27</t>
        </is>
      </c>
      <c r="B174" s="2" t="n">
        <v>46316</v>
      </c>
      <c r="C174" s="1" t="n">
        <v>0</v>
      </c>
      <c r="D174" s="1" t="n">
        <v>0</v>
      </c>
    </row>
    <row r="175" ht="13" customHeight="1">
      <c r="A175" s="1" t="inlineStr">
        <is>
          <t>BKK27</t>
        </is>
      </c>
      <c r="B175" s="2" t="n">
        <v>46319</v>
      </c>
      <c r="C175" s="1" t="n">
        <v>0</v>
      </c>
      <c r="D175" s="1" t="n">
        <v>0</v>
      </c>
    </row>
    <row r="176" ht="13" customHeight="1">
      <c r="A176" s="1" t="inlineStr">
        <is>
          <t>BKK27</t>
        </is>
      </c>
      <c r="B176" s="2" t="n">
        <v>46317</v>
      </c>
      <c r="C176" s="1" t="n">
        <v>0</v>
      </c>
      <c r="D176" s="1" t="n">
        <v>0</v>
      </c>
    </row>
    <row r="177" ht="13" customHeight="1">
      <c r="A177" s="1" t="inlineStr">
        <is>
          <t>BKK27</t>
        </is>
      </c>
      <c r="B177" s="2" t="n">
        <v>46314</v>
      </c>
      <c r="C177" s="1" t="n">
        <v>0</v>
      </c>
      <c r="D177" s="1" t="n">
        <v>0</v>
      </c>
    </row>
    <row r="178" ht="13" customHeight="1">
      <c r="A178" s="1" t="inlineStr">
        <is>
          <t>BKK27</t>
        </is>
      </c>
      <c r="B178" s="2" t="n">
        <v>46314</v>
      </c>
      <c r="C178" s="1" t="n">
        <v>0</v>
      </c>
      <c r="D178" s="1" t="n">
        <v>0</v>
      </c>
    </row>
    <row r="179" ht="13" customHeight="1">
      <c r="A179" s="1" t="inlineStr">
        <is>
          <t>BKK27</t>
        </is>
      </c>
      <c r="B179" s="2" t="n">
        <v>46322</v>
      </c>
      <c r="C179" s="1" t="n">
        <v>0</v>
      </c>
      <c r="D179" s="1" t="n">
        <v>0</v>
      </c>
    </row>
    <row r="180" ht="13" customHeight="1">
      <c r="A180" s="1" t="inlineStr">
        <is>
          <t>BKK27</t>
        </is>
      </c>
      <c r="B180" s="2" t="n">
        <v>46330</v>
      </c>
      <c r="C180" s="1" t="n">
        <v>0</v>
      </c>
      <c r="D180" s="1" t="n">
        <v>0</v>
      </c>
    </row>
    <row r="181" ht="13" customHeight="1">
      <c r="A181" s="1" t="inlineStr">
        <is>
          <t>BKK27</t>
        </is>
      </c>
      <c r="B181" s="2" t="n">
        <v>46327</v>
      </c>
      <c r="C181" s="1" t="n">
        <v>0</v>
      </c>
      <c r="D181" s="1" t="n">
        <v>0</v>
      </c>
    </row>
    <row r="182" ht="13" customHeight="1">
      <c r="A182" s="1" t="inlineStr">
        <is>
          <t>BKK27</t>
        </is>
      </c>
      <c r="B182" s="2" t="n">
        <v>46326</v>
      </c>
      <c r="C182" s="1" t="n">
        <v>0</v>
      </c>
      <c r="D182" s="1" t="n">
        <v>0</v>
      </c>
    </row>
    <row r="183" ht="13" customHeight="1">
      <c r="A183" s="1" t="inlineStr">
        <is>
          <t>BKK27</t>
        </is>
      </c>
      <c r="B183" s="2" t="n">
        <v>46314</v>
      </c>
      <c r="C183" s="1" t="n">
        <v>0</v>
      </c>
      <c r="D183" s="1" t="n">
        <v>0</v>
      </c>
    </row>
    <row r="184" ht="13" customHeight="1">
      <c r="A184" s="1" t="inlineStr">
        <is>
          <t>BKK27</t>
        </is>
      </c>
      <c r="B184" s="2" t="n">
        <v>46316</v>
      </c>
      <c r="C184" s="1" t="n">
        <v>0</v>
      </c>
      <c r="D184" s="1" t="n">
        <v>0</v>
      </c>
    </row>
    <row r="185" ht="13" customHeight="1">
      <c r="A185" s="1" t="inlineStr">
        <is>
          <t>BKK27</t>
        </is>
      </c>
      <c r="B185" s="2" t="n">
        <v>46314</v>
      </c>
      <c r="C185" s="1" t="n">
        <v>0</v>
      </c>
      <c r="D185" s="1" t="n">
        <v>0</v>
      </c>
    </row>
    <row r="186" ht="13" customHeight="1">
      <c r="A186" s="1" t="inlineStr">
        <is>
          <t>BKK27</t>
        </is>
      </c>
      <c r="B186" s="2" t="n">
        <v>46324</v>
      </c>
      <c r="C186" s="1" t="n">
        <v>0</v>
      </c>
      <c r="D186" s="1" t="n">
        <v>0</v>
      </c>
    </row>
    <row r="187" ht="13" customHeight="1">
      <c r="A187" s="1" t="inlineStr">
        <is>
          <t>BKK27</t>
        </is>
      </c>
      <c r="B187" s="2" t="n">
        <v>46325</v>
      </c>
      <c r="C187" s="1" t="n">
        <v>0</v>
      </c>
      <c r="D187" s="1" t="n">
        <v>0</v>
      </c>
    </row>
    <row r="188" ht="13" customHeight="1">
      <c r="A188" s="1" t="inlineStr">
        <is>
          <t>BKK27</t>
        </is>
      </c>
      <c r="B188" s="2" t="n">
        <v>46316</v>
      </c>
      <c r="C188" s="1" t="n">
        <v>0</v>
      </c>
      <c r="D188" s="1" t="n">
        <v>0</v>
      </c>
    </row>
    <row r="189" ht="13" customHeight="1">
      <c r="A189" s="1" t="inlineStr">
        <is>
          <t>LCH27</t>
        </is>
      </c>
      <c r="B189" s="2" t="n">
        <v>46330</v>
      </c>
      <c r="C189" s="1" t="n">
        <v>0</v>
      </c>
      <c r="D189" s="1" t="n">
        <v>0</v>
      </c>
    </row>
    <row r="190" ht="13" customHeight="1">
      <c r="A190" s="1" t="inlineStr">
        <is>
          <t>BKK27</t>
        </is>
      </c>
      <c r="B190" s="2" t="n">
        <v>46328</v>
      </c>
      <c r="C190" s="1" t="n">
        <v>0</v>
      </c>
      <c r="D190" s="1" t="n">
        <v>0</v>
      </c>
    </row>
    <row r="191" ht="13" customHeight="1">
      <c r="A191" s="1" t="inlineStr">
        <is>
          <t>BKK27</t>
        </is>
      </c>
      <c r="B191" s="2" t="n">
        <v>46315</v>
      </c>
      <c r="C191" s="1" t="n">
        <v>0</v>
      </c>
      <c r="D191" s="1" t="n">
        <v>0</v>
      </c>
    </row>
    <row r="192" ht="13" customHeight="1">
      <c r="A192" s="1" t="inlineStr">
        <is>
          <t>BKK27</t>
        </is>
      </c>
      <c r="B192" s="2" t="n">
        <v>46325</v>
      </c>
      <c r="C192" s="1" t="n">
        <v>0</v>
      </c>
      <c r="D192" s="1" t="n">
        <v>0</v>
      </c>
    </row>
    <row r="193" ht="13" customHeight="1">
      <c r="A193" s="1" t="inlineStr">
        <is>
          <t>BKK27</t>
        </is>
      </c>
      <c r="B193" s="2" t="n">
        <v>46324</v>
      </c>
      <c r="C193" s="1" t="n">
        <v>0</v>
      </c>
      <c r="D193" s="1" t="n">
        <v>0</v>
      </c>
    </row>
    <row r="194" ht="13" customHeight="1">
      <c r="A194" s="1" t="inlineStr">
        <is>
          <t>BKK27</t>
        </is>
      </c>
      <c r="B194" s="2" t="n">
        <v>46323</v>
      </c>
      <c r="C194" s="1" t="n">
        <v>0</v>
      </c>
      <c r="D194" s="1" t="n">
        <v>0</v>
      </c>
    </row>
    <row r="195" ht="13" customHeight="1">
      <c r="A195" s="1" t="inlineStr">
        <is>
          <t>BKK27</t>
        </is>
      </c>
      <c r="B195" s="2" t="n">
        <v>46325</v>
      </c>
      <c r="C195" s="1" t="n">
        <v>0</v>
      </c>
      <c r="D195" s="1" t="n">
        <v>0</v>
      </c>
    </row>
    <row r="196" ht="13" customHeight="1">
      <c r="A196" s="1" t="inlineStr">
        <is>
          <t>BKK27</t>
        </is>
      </c>
      <c r="B196" s="2" t="n">
        <v>46314</v>
      </c>
      <c r="C196" s="1" t="n">
        <v>0</v>
      </c>
      <c r="D196" s="1" t="n">
        <v>0</v>
      </c>
    </row>
    <row r="197" ht="13" customHeight="1">
      <c r="A197" s="1" t="inlineStr">
        <is>
          <t>BKK27</t>
        </is>
      </c>
      <c r="B197" s="2" t="n">
        <v>46315</v>
      </c>
      <c r="C197" s="1" t="n">
        <v>0</v>
      </c>
      <c r="D197" s="1" t="n">
        <v>0</v>
      </c>
    </row>
    <row r="198" ht="13" customHeight="1">
      <c r="A198" s="1" t="inlineStr">
        <is>
          <t>BKK27</t>
        </is>
      </c>
      <c r="B198" s="2" t="n">
        <v>46319</v>
      </c>
      <c r="C198" s="1" t="n">
        <v>0</v>
      </c>
      <c r="D198" s="1" t="n">
        <v>0</v>
      </c>
    </row>
    <row r="199" ht="13" customHeight="1">
      <c r="A199" s="1" t="inlineStr">
        <is>
          <t>LCH27</t>
        </is>
      </c>
      <c r="B199" s="2" t="n">
        <v>46319</v>
      </c>
      <c r="C199" s="1" t="n">
        <v>0</v>
      </c>
      <c r="D199" s="1" t="n">
        <v>0</v>
      </c>
    </row>
    <row r="200" ht="13" customHeight="1">
      <c r="A200" s="1" t="inlineStr">
        <is>
          <t>BKK27</t>
        </is>
      </c>
      <c r="B200" s="2" t="n">
        <v>46315</v>
      </c>
      <c r="C200" s="1" t="n">
        <v>0</v>
      </c>
      <c r="D200" s="1" t="n">
        <v>0</v>
      </c>
    </row>
    <row r="201" ht="13" customHeight="1">
      <c r="A201" s="1" t="inlineStr">
        <is>
          <t>BKK27</t>
        </is>
      </c>
      <c r="B201" s="2" t="n">
        <v>46314</v>
      </c>
      <c r="C201" s="1" t="n">
        <v>0</v>
      </c>
      <c r="D201" s="1" t="n">
        <v>0</v>
      </c>
    </row>
    <row r="202" ht="13" customHeight="1">
      <c r="A202" s="1" t="inlineStr">
        <is>
          <t>BKK27</t>
        </is>
      </c>
      <c r="B202" s="2" t="n">
        <v>46314</v>
      </c>
      <c r="C202" s="1" t="n">
        <v>0</v>
      </c>
      <c r="D202" s="1" t="n">
        <v>0</v>
      </c>
    </row>
    <row r="203" ht="13" customHeight="1">
      <c r="A203" s="1" t="inlineStr">
        <is>
          <t>BKK27</t>
        </is>
      </c>
      <c r="B203" s="2" t="n">
        <v>46325</v>
      </c>
      <c r="C203" s="1" t="n">
        <v>0</v>
      </c>
      <c r="D203" s="1" t="n">
        <v>0</v>
      </c>
    </row>
    <row r="204" ht="13" customHeight="1">
      <c r="A204" s="1" t="inlineStr">
        <is>
          <t>BKK27</t>
        </is>
      </c>
      <c r="B204" s="2" t="n">
        <v>46323</v>
      </c>
      <c r="C204" s="1" t="n">
        <v>0</v>
      </c>
      <c r="D204" s="1" t="n">
        <v>0</v>
      </c>
    </row>
    <row r="205" ht="13" customHeight="1">
      <c r="A205" s="1" t="inlineStr">
        <is>
          <t>BKK27</t>
        </is>
      </c>
      <c r="B205" s="2" t="n">
        <v>46325</v>
      </c>
      <c r="C205" s="1" t="n">
        <v>0</v>
      </c>
      <c r="D205" s="1" t="n">
        <v>0</v>
      </c>
    </row>
    <row r="206" ht="13" customHeight="1">
      <c r="A206" s="1" t="inlineStr">
        <is>
          <t>BKK27</t>
        </is>
      </c>
      <c r="B206" s="2" t="n">
        <v>46325</v>
      </c>
      <c r="C206" s="1" t="n">
        <v>0</v>
      </c>
      <c r="D206" s="1" t="n">
        <v>0</v>
      </c>
    </row>
    <row r="207" ht="13" customHeight="1">
      <c r="A207" s="1" t="inlineStr">
        <is>
          <t>LCH27</t>
        </is>
      </c>
      <c r="B207" s="2" t="n">
        <v>46318</v>
      </c>
      <c r="C207" s="1" t="n">
        <v>0</v>
      </c>
      <c r="D207" s="1" t="n">
        <v>0</v>
      </c>
    </row>
    <row r="208" ht="13" customHeight="1">
      <c r="A208" s="1" t="inlineStr">
        <is>
          <t>BKK27</t>
        </is>
      </c>
      <c r="B208" s="2" t="n">
        <v>46328</v>
      </c>
      <c r="C208" s="1" t="n">
        <v>0</v>
      </c>
      <c r="D208" s="1" t="n">
        <v>0</v>
      </c>
    </row>
    <row r="209" ht="13" customHeight="1">
      <c r="A209" s="1" t="inlineStr">
        <is>
          <t>BKK27</t>
        </is>
      </c>
      <c r="B209" s="2" t="n">
        <v>46333</v>
      </c>
      <c r="C209" s="1" t="n">
        <v>0</v>
      </c>
      <c r="D209" s="1" t="n">
        <v>0</v>
      </c>
    </row>
    <row r="210" ht="13" customHeight="1">
      <c r="A210" s="1" t="inlineStr">
        <is>
          <t>BKK27</t>
        </is>
      </c>
      <c r="B210" s="2" t="n">
        <v>46315</v>
      </c>
      <c r="C210" s="1" t="n">
        <v>0</v>
      </c>
      <c r="D210" s="1" t="n">
        <v>0</v>
      </c>
    </row>
    <row r="211" ht="13" customHeight="1">
      <c r="A211" s="1" t="inlineStr">
        <is>
          <t>BKK27</t>
        </is>
      </c>
      <c r="B211" s="2" t="n">
        <v>46319</v>
      </c>
      <c r="C211" s="1" t="n">
        <v>0</v>
      </c>
      <c r="D211" s="1" t="n">
        <v>0</v>
      </c>
    </row>
    <row r="212" ht="13" customHeight="1">
      <c r="A212" s="1" t="inlineStr">
        <is>
          <t>BKK27</t>
        </is>
      </c>
      <c r="B212" s="2" t="n">
        <v>46316</v>
      </c>
      <c r="C212" s="1" t="n">
        <v>0</v>
      </c>
      <c r="D212" s="1" t="n">
        <v>0</v>
      </c>
    </row>
    <row r="213" ht="13" customHeight="1">
      <c r="A213" s="1" t="inlineStr">
        <is>
          <t>BKK27</t>
        </is>
      </c>
      <c r="B213" s="2" t="n">
        <v>46328</v>
      </c>
      <c r="C213" s="1" t="n">
        <v>0</v>
      </c>
      <c r="D213" s="1" t="n">
        <v>0</v>
      </c>
    </row>
    <row r="214" ht="13" customHeight="1">
      <c r="A214" s="1" t="inlineStr">
        <is>
          <t>BKK27</t>
        </is>
      </c>
      <c r="B214" s="2" t="n">
        <v>46318</v>
      </c>
      <c r="C214" s="1" t="n">
        <v>0</v>
      </c>
      <c r="D214" s="1" t="n">
        <v>0</v>
      </c>
    </row>
    <row r="215" ht="13" customHeight="1">
      <c r="A215" s="1" t="inlineStr">
        <is>
          <t>BKK27</t>
        </is>
      </c>
      <c r="B215" s="2" t="n">
        <v>46319</v>
      </c>
      <c r="C215" s="1" t="n">
        <v>0</v>
      </c>
      <c r="D215" s="1" t="n">
        <v>0</v>
      </c>
    </row>
    <row r="216" ht="13" customHeight="1">
      <c r="A216" s="1" t="inlineStr">
        <is>
          <t>BKK27</t>
        </is>
      </c>
      <c r="B216" s="2" t="n">
        <v>46323</v>
      </c>
      <c r="C216" s="1" t="n">
        <v>0</v>
      </c>
      <c r="D216" s="1" t="n">
        <v>0</v>
      </c>
    </row>
    <row r="217" ht="13" customHeight="1">
      <c r="A217" s="1" t="inlineStr">
        <is>
          <t>BKK27</t>
        </is>
      </c>
      <c r="B217" s="2" t="n">
        <v>46316</v>
      </c>
      <c r="C217" s="1" t="n">
        <v>0</v>
      </c>
      <c r="D217" s="1" t="n">
        <v>0</v>
      </c>
    </row>
    <row r="218" ht="13" customHeight="1">
      <c r="A218" s="1" t="inlineStr">
        <is>
          <t>BKK27</t>
        </is>
      </c>
      <c r="B218" s="2" t="n">
        <v>46323</v>
      </c>
      <c r="C218" s="1" t="n">
        <v>0</v>
      </c>
      <c r="D218" s="1" t="n">
        <v>0</v>
      </c>
    </row>
    <row r="219" ht="13" customHeight="1">
      <c r="A219" s="1" t="inlineStr">
        <is>
          <t>BKK27</t>
        </is>
      </c>
      <c r="B219" s="2" t="n">
        <v>46331</v>
      </c>
      <c r="C219" s="1" t="n">
        <v>0</v>
      </c>
      <c r="D219" s="1" t="n">
        <v>0</v>
      </c>
    </row>
    <row r="220" ht="13" customHeight="1">
      <c r="A220" s="1" t="inlineStr">
        <is>
          <t>BKK27</t>
        </is>
      </c>
      <c r="B220" s="2" t="n">
        <v>46317</v>
      </c>
      <c r="C220" s="1" t="n">
        <v>0</v>
      </c>
      <c r="D220" s="1" t="n">
        <v>0</v>
      </c>
    </row>
    <row r="221" ht="13" customHeight="1">
      <c r="A221" s="1" t="inlineStr">
        <is>
          <t>LCH27</t>
        </is>
      </c>
      <c r="B221" s="2" t="n">
        <v>46314</v>
      </c>
      <c r="C221" s="1" t="n">
        <v>0</v>
      </c>
      <c r="D221" s="1" t="n">
        <v>0</v>
      </c>
    </row>
    <row r="222" ht="13" customHeight="1">
      <c r="A222" s="1" t="inlineStr">
        <is>
          <t>BKK27</t>
        </is>
      </c>
      <c r="B222" s="2" t="n">
        <v>46331</v>
      </c>
      <c r="C222" s="1" t="n">
        <v>0</v>
      </c>
      <c r="D222" s="1" t="n">
        <v>0</v>
      </c>
    </row>
    <row r="223" ht="13" customHeight="1">
      <c r="A223" s="1" t="inlineStr">
        <is>
          <t>BKK27</t>
        </is>
      </c>
      <c r="B223" s="2" t="n">
        <v>46317</v>
      </c>
      <c r="C223" s="1" t="n">
        <v>0</v>
      </c>
      <c r="D223" s="1" t="n">
        <v>0</v>
      </c>
    </row>
    <row r="224" ht="13" customHeight="1">
      <c r="A224" s="1" t="inlineStr">
        <is>
          <t>BKK27</t>
        </is>
      </c>
      <c r="B224" s="2" t="n">
        <v>46333</v>
      </c>
      <c r="C224" s="1" t="n">
        <v>0</v>
      </c>
      <c r="D224" s="1" t="n">
        <v>0</v>
      </c>
    </row>
    <row r="225" ht="13" customHeight="1">
      <c r="A225" s="1" t="inlineStr">
        <is>
          <t>BKK27</t>
        </is>
      </c>
      <c r="B225" s="2" t="n">
        <v>46315</v>
      </c>
      <c r="C225" s="1" t="n">
        <v>0</v>
      </c>
      <c r="D225" s="1" t="n">
        <v>0</v>
      </c>
    </row>
    <row r="226" ht="13" customHeight="1">
      <c r="A226" s="1" t="inlineStr">
        <is>
          <t>LCH27</t>
        </is>
      </c>
      <c r="B226" s="2" t="n">
        <v>46314</v>
      </c>
      <c r="C226" s="1" t="n">
        <v>0</v>
      </c>
      <c r="D226" s="1" t="n">
        <v>0</v>
      </c>
    </row>
    <row r="227" ht="13" customHeight="1">
      <c r="A227" s="1" t="inlineStr">
        <is>
          <t>BKK27</t>
        </is>
      </c>
      <c r="B227" s="2" t="n">
        <v>46333</v>
      </c>
      <c r="C227" s="1" t="n">
        <v>0</v>
      </c>
      <c r="D227" s="1" t="n">
        <v>0</v>
      </c>
    </row>
    <row r="228" ht="13" customHeight="1">
      <c r="A228" s="1" t="inlineStr">
        <is>
          <t>BKK27</t>
        </is>
      </c>
      <c r="B228" s="2" t="n">
        <v>46325</v>
      </c>
      <c r="C228" s="1" t="n">
        <v>0</v>
      </c>
      <c r="D228" s="1" t="n">
        <v>0</v>
      </c>
    </row>
    <row r="229" ht="13" customHeight="1">
      <c r="A229" s="1" t="inlineStr">
        <is>
          <t>BKK27</t>
        </is>
      </c>
      <c r="B229" s="2" t="n">
        <v>46323</v>
      </c>
      <c r="C229" s="1" t="n">
        <v>0</v>
      </c>
      <c r="D229" s="1" t="n">
        <v>0</v>
      </c>
    </row>
    <row r="230" ht="13" customHeight="1">
      <c r="A230" s="1" t="inlineStr">
        <is>
          <t>BKK27</t>
        </is>
      </c>
      <c r="B230" s="2" t="n">
        <v>46319</v>
      </c>
      <c r="C230" s="1" t="n">
        <v>0</v>
      </c>
      <c r="D230" s="1" t="n">
        <v>0</v>
      </c>
    </row>
    <row r="231" ht="13" customHeight="1">
      <c r="A231" s="1" t="inlineStr">
        <is>
          <t>BKK27</t>
        </is>
      </c>
      <c r="B231" s="2" t="n">
        <v>46323</v>
      </c>
      <c r="C231" s="1" t="n">
        <v>0</v>
      </c>
      <c r="D231" s="1" t="n">
        <v>0</v>
      </c>
    </row>
    <row r="232" ht="13" customHeight="1">
      <c r="A232" s="1" t="inlineStr">
        <is>
          <t>BKK27</t>
        </is>
      </c>
      <c r="B232" s="2" t="n">
        <v>46324</v>
      </c>
      <c r="C232" s="1" t="n">
        <v>0</v>
      </c>
      <c r="D232" s="1" t="n">
        <v>0</v>
      </c>
    </row>
    <row r="233" ht="13" customHeight="1">
      <c r="A233" s="1" t="inlineStr">
        <is>
          <t>BKK27</t>
        </is>
      </c>
      <c r="B233" s="2" t="n">
        <v>46324</v>
      </c>
      <c r="C233" s="1" t="n">
        <v>0</v>
      </c>
      <c r="D233" s="1" t="n">
        <v>0</v>
      </c>
    </row>
    <row r="234" ht="13" customHeight="1">
      <c r="A234" s="1" t="inlineStr">
        <is>
          <t>BKK27</t>
        </is>
      </c>
      <c r="B234" s="2" t="n">
        <v>46319</v>
      </c>
      <c r="C234" s="1" t="n">
        <v>0</v>
      </c>
      <c r="D234" s="1" t="n">
        <v>0</v>
      </c>
    </row>
    <row r="235" ht="13" customHeight="1">
      <c r="A235" s="1" t="inlineStr">
        <is>
          <t>BKK27</t>
        </is>
      </c>
      <c r="B235" s="2" t="n">
        <v>46314</v>
      </c>
      <c r="C235" s="1" t="n">
        <v>0</v>
      </c>
      <c r="D235" s="1" t="n">
        <v>0</v>
      </c>
    </row>
    <row r="236" ht="13" customHeight="1">
      <c r="A236" s="1" t="inlineStr">
        <is>
          <t>BKK27</t>
        </is>
      </c>
      <c r="B236" s="2" t="n">
        <v>46329</v>
      </c>
      <c r="C236" s="1" t="n">
        <v>0</v>
      </c>
      <c r="D236" s="1" t="n">
        <v>0</v>
      </c>
    </row>
    <row r="237" ht="13" customHeight="1">
      <c r="A237" s="1" t="inlineStr">
        <is>
          <t>BKK27</t>
        </is>
      </c>
      <c r="B237" s="2" t="n">
        <v>46314</v>
      </c>
      <c r="C237" s="1" t="n">
        <v>0</v>
      </c>
      <c r="D237" s="1" t="n">
        <v>0</v>
      </c>
    </row>
    <row r="238" ht="13" customHeight="1">
      <c r="A238" s="1" t="inlineStr">
        <is>
          <t>BKK27</t>
        </is>
      </c>
      <c r="B238" s="2" t="n">
        <v>46330</v>
      </c>
      <c r="C238" s="1" t="n">
        <v>0</v>
      </c>
      <c r="D238" s="1" t="n">
        <v>0</v>
      </c>
    </row>
    <row r="239" ht="13" customHeight="1">
      <c r="A239" s="1" t="inlineStr">
        <is>
          <t>BKK27</t>
        </is>
      </c>
      <c r="B239" s="2" t="n">
        <v>46314</v>
      </c>
      <c r="C239" s="1" t="n">
        <v>0</v>
      </c>
      <c r="D239" s="1" t="n">
        <v>0</v>
      </c>
    </row>
    <row r="240" ht="13" customHeight="1">
      <c r="A240" s="1" t="inlineStr">
        <is>
          <t>BKK27</t>
        </is>
      </c>
      <c r="B240" s="2" t="n">
        <v>46316</v>
      </c>
      <c r="C240" s="1" t="n">
        <v>0</v>
      </c>
      <c r="D240" s="1" t="n">
        <v>0</v>
      </c>
    </row>
    <row r="241" ht="13" customHeight="1">
      <c r="A241" s="1" t="inlineStr">
        <is>
          <t>LCH27</t>
        </is>
      </c>
      <c r="B241" s="2" t="n">
        <v>46317</v>
      </c>
      <c r="C241" s="1" t="n">
        <v>0</v>
      </c>
      <c r="D241" s="1" t="n">
        <v>0</v>
      </c>
    </row>
    <row r="242" ht="13" customHeight="1">
      <c r="A242" s="1" t="inlineStr">
        <is>
          <t>LCH27</t>
        </is>
      </c>
      <c r="B242" s="2" t="n">
        <v>46317</v>
      </c>
      <c r="C242" s="1" t="n">
        <v>0</v>
      </c>
      <c r="D242" s="1" t="n">
        <v>0</v>
      </c>
    </row>
    <row r="243" ht="13" customHeight="1">
      <c r="A243" s="1" t="inlineStr">
        <is>
          <t>BKK27</t>
        </is>
      </c>
      <c r="B243" s="2" t="n">
        <v>46321</v>
      </c>
      <c r="C243" s="1" t="n">
        <v>0</v>
      </c>
      <c r="D243" s="1" t="n">
        <v>0</v>
      </c>
    </row>
    <row r="244" ht="13" customHeight="1">
      <c r="A244" s="1" t="inlineStr">
        <is>
          <t>LCH27</t>
        </is>
      </c>
      <c r="B244" s="2" t="n">
        <v>46315</v>
      </c>
      <c r="C244" s="1" t="n">
        <v>0</v>
      </c>
      <c r="D244" s="1" t="n">
        <v>0</v>
      </c>
    </row>
    <row r="245" ht="13" customHeight="1">
      <c r="A245" s="1" t="inlineStr">
        <is>
          <t>BKK27</t>
        </is>
      </c>
      <c r="B245" s="2" t="n">
        <v>46315</v>
      </c>
      <c r="C245" s="1" t="n">
        <v>0</v>
      </c>
      <c r="D245" s="1" t="n">
        <v>0</v>
      </c>
    </row>
    <row r="246" ht="13" customHeight="1">
      <c r="A246" s="1" t="inlineStr">
        <is>
          <t>BKK27</t>
        </is>
      </c>
      <c r="B246" s="2" t="n">
        <v>46332</v>
      </c>
      <c r="C246" s="1" t="n">
        <v>0</v>
      </c>
      <c r="D246" s="1" t="n">
        <v>0</v>
      </c>
    </row>
    <row r="247" ht="13" customHeight="1">
      <c r="A247" s="1" t="inlineStr">
        <is>
          <t>LCH27</t>
        </is>
      </c>
      <c r="B247" s="2" t="n">
        <v>46317</v>
      </c>
      <c r="C247" s="1" t="n">
        <v>0</v>
      </c>
      <c r="D247" s="1" t="n">
        <v>0</v>
      </c>
    </row>
    <row r="248" ht="13" customHeight="1">
      <c r="A248" s="1" t="inlineStr">
        <is>
          <t>LCH27</t>
        </is>
      </c>
      <c r="B248" s="2" t="n">
        <v>46314</v>
      </c>
      <c r="C248" s="1" t="n">
        <v>0</v>
      </c>
      <c r="D248" s="1" t="n">
        <v>0</v>
      </c>
    </row>
    <row r="249" ht="13" customHeight="1">
      <c r="A249" s="1" t="inlineStr">
        <is>
          <t>LCH27</t>
        </is>
      </c>
      <c r="B249" s="2" t="n">
        <v>46317</v>
      </c>
      <c r="C249" s="1" t="n">
        <v>0</v>
      </c>
      <c r="D249" s="1" t="n">
        <v>0</v>
      </c>
    </row>
    <row r="250" ht="13" customHeight="1">
      <c r="A250" s="1" t="inlineStr">
        <is>
          <t>BKK27</t>
        </is>
      </c>
      <c r="B250" s="2" t="n">
        <v>46322</v>
      </c>
      <c r="C250" s="1" t="n">
        <v>0</v>
      </c>
      <c r="D250" s="1" t="n">
        <v>0</v>
      </c>
    </row>
    <row r="251" ht="13" customHeight="1">
      <c r="A251" s="1" t="inlineStr">
        <is>
          <t>BKK27</t>
        </is>
      </c>
      <c r="B251" s="2" t="n">
        <v>46326</v>
      </c>
      <c r="C251" s="1" t="n">
        <v>0</v>
      </c>
      <c r="D251" s="1" t="n">
        <v>0</v>
      </c>
    </row>
    <row r="252" ht="13" customHeight="1">
      <c r="A252" s="1" t="inlineStr">
        <is>
          <t>BKK27</t>
        </is>
      </c>
      <c r="B252" s="2" t="n">
        <v>46331</v>
      </c>
      <c r="C252" s="1" t="n">
        <v>0</v>
      </c>
      <c r="D252" s="1" t="n">
        <v>0</v>
      </c>
    </row>
    <row r="253" ht="13" customHeight="1">
      <c r="A253" s="1" t="inlineStr">
        <is>
          <t>BKK27</t>
        </is>
      </c>
      <c r="B253" s="2" t="n">
        <v>46322</v>
      </c>
      <c r="C253" s="1" t="n">
        <v>0</v>
      </c>
      <c r="D253" s="1" t="n">
        <v>0</v>
      </c>
    </row>
    <row r="254" ht="13" customHeight="1">
      <c r="A254" s="1" t="inlineStr">
        <is>
          <t>BKK27</t>
        </is>
      </c>
      <c r="B254" s="2" t="n">
        <v>46321</v>
      </c>
      <c r="C254" s="1" t="n">
        <v>0</v>
      </c>
      <c r="D254" s="1" t="n">
        <v>0</v>
      </c>
    </row>
    <row r="255" ht="13" customHeight="1">
      <c r="A255" s="1" t="inlineStr">
        <is>
          <t>BKK27</t>
        </is>
      </c>
      <c r="B255" s="2" t="n">
        <v>46323</v>
      </c>
      <c r="C255" s="1" t="n">
        <v>0</v>
      </c>
      <c r="D255" s="1" t="n">
        <v>0</v>
      </c>
    </row>
    <row r="256" ht="13" customHeight="1">
      <c r="A256" s="1" t="inlineStr">
        <is>
          <t>BKK27</t>
        </is>
      </c>
      <c r="B256" s="2" t="n">
        <v>46315</v>
      </c>
      <c r="C256" s="1" t="n">
        <v>0</v>
      </c>
      <c r="D256" s="1" t="n">
        <v>0</v>
      </c>
    </row>
    <row r="257" ht="13" customHeight="1">
      <c r="A257" s="1" t="inlineStr">
        <is>
          <t>BKK27</t>
        </is>
      </c>
      <c r="B257" s="2" t="n">
        <v>46324</v>
      </c>
      <c r="C257" s="1" t="n">
        <v>0</v>
      </c>
      <c r="D257" s="1" t="n">
        <v>0</v>
      </c>
    </row>
    <row r="258" ht="13" customHeight="1">
      <c r="A258" s="1" t="inlineStr">
        <is>
          <t>BKK27</t>
        </is>
      </c>
      <c r="B258" s="2" t="n">
        <v>46314</v>
      </c>
      <c r="C258" s="1" t="n">
        <v>0</v>
      </c>
      <c r="D258" s="1" t="n">
        <v>0</v>
      </c>
    </row>
    <row r="259" ht="13" customHeight="1">
      <c r="A259" s="1" t="inlineStr">
        <is>
          <t>LCH27</t>
        </is>
      </c>
      <c r="B259" s="2" t="n">
        <v>46316</v>
      </c>
      <c r="C259" s="1" t="n">
        <v>0</v>
      </c>
      <c r="D259" s="1" t="n">
        <v>0</v>
      </c>
    </row>
    <row r="260" ht="13" customHeight="1">
      <c r="A260" s="1" t="inlineStr">
        <is>
          <t>LCH27</t>
        </is>
      </c>
      <c r="B260" s="2" t="n">
        <v>46314</v>
      </c>
      <c r="C260" s="1" t="n">
        <v>0</v>
      </c>
      <c r="D260" s="1" t="n">
        <v>0</v>
      </c>
    </row>
    <row r="261" ht="13" customHeight="1">
      <c r="A261" s="1" t="inlineStr">
        <is>
          <t>BKK27</t>
        </is>
      </c>
      <c r="B261" s="2" t="n">
        <v>46323</v>
      </c>
      <c r="C261" s="1" t="n">
        <v>0</v>
      </c>
      <c r="D261" s="1" t="n">
        <v>0</v>
      </c>
    </row>
    <row r="262" ht="13" customHeight="1">
      <c r="A262" s="1" t="inlineStr">
        <is>
          <t>BKK27</t>
        </is>
      </c>
      <c r="B262" s="2" t="n">
        <v>46328</v>
      </c>
      <c r="C262" s="1" t="n">
        <v>0</v>
      </c>
      <c r="D262" s="1" t="n">
        <v>0</v>
      </c>
    </row>
    <row r="263" ht="13" customHeight="1">
      <c r="A263" s="1" t="inlineStr">
        <is>
          <t>BKK27</t>
        </is>
      </c>
      <c r="B263" s="2" t="n">
        <v>46314</v>
      </c>
      <c r="C263" s="1" t="n">
        <v>0</v>
      </c>
      <c r="D263" s="1" t="n">
        <v>0</v>
      </c>
    </row>
    <row r="264" ht="13" customHeight="1">
      <c r="A264" s="1" t="inlineStr">
        <is>
          <t>BKK27</t>
        </is>
      </c>
      <c r="B264" s="2" t="n">
        <v>46333</v>
      </c>
      <c r="C264" s="1" t="n">
        <v>0</v>
      </c>
      <c r="D264" s="1" t="n">
        <v>0</v>
      </c>
    </row>
    <row r="265" ht="13" customHeight="1">
      <c r="A265" s="1" t="inlineStr">
        <is>
          <t>BKK27</t>
        </is>
      </c>
      <c r="B265" s="2" t="n">
        <v>46329</v>
      </c>
      <c r="C265" s="1" t="n">
        <v>0</v>
      </c>
      <c r="D265" s="1" t="n">
        <v>0</v>
      </c>
    </row>
    <row r="266" ht="13" customHeight="1">
      <c r="A266" s="1" t="inlineStr">
        <is>
          <t>LCH27</t>
        </is>
      </c>
      <c r="B266" s="2" t="n">
        <v>46317</v>
      </c>
      <c r="C266" s="1" t="n">
        <v>0</v>
      </c>
      <c r="D266" s="1" t="n">
        <v>0</v>
      </c>
    </row>
    <row r="267" ht="13" customHeight="1">
      <c r="A267" s="1" t="inlineStr">
        <is>
          <t>BKK27</t>
        </is>
      </c>
      <c r="B267" s="2" t="n">
        <v>46328</v>
      </c>
      <c r="C267" s="1" t="n">
        <v>0</v>
      </c>
      <c r="D267" s="1" t="n">
        <v>0</v>
      </c>
    </row>
    <row r="268" ht="13" customHeight="1">
      <c r="A268" s="1" t="inlineStr">
        <is>
          <t>BKK27</t>
        </is>
      </c>
      <c r="B268" s="2" t="n">
        <v>46316</v>
      </c>
      <c r="C268" s="1" t="n">
        <v>0</v>
      </c>
      <c r="D268" s="1" t="n">
        <v>0</v>
      </c>
    </row>
    <row r="269" ht="13" customHeight="1">
      <c r="A269" s="1" t="inlineStr">
        <is>
          <t>BKK27</t>
        </is>
      </c>
      <c r="B269" s="2" t="n">
        <v>46329</v>
      </c>
      <c r="C269" s="1" t="n">
        <v>0</v>
      </c>
      <c r="D269" s="1" t="n">
        <v>0</v>
      </c>
    </row>
    <row r="270" ht="13" customHeight="1">
      <c r="A270" s="1" t="inlineStr">
        <is>
          <t>BKK27</t>
        </is>
      </c>
      <c r="B270" s="2" t="n">
        <v>46324</v>
      </c>
      <c r="C270" s="1" t="n">
        <v>0</v>
      </c>
      <c r="D270" s="1" t="n">
        <v>0</v>
      </c>
    </row>
    <row r="271" ht="13" customHeight="1">
      <c r="A271" s="1" t="inlineStr">
        <is>
          <t>LCH27</t>
        </is>
      </c>
      <c r="B271" s="2" t="n">
        <v>46314</v>
      </c>
      <c r="C271" s="1" t="n">
        <v>0</v>
      </c>
      <c r="D271" s="1" t="n">
        <v>0</v>
      </c>
    </row>
    <row r="272" ht="13" customHeight="1">
      <c r="A272" s="1" t="inlineStr">
        <is>
          <t>BKK27</t>
        </is>
      </c>
      <c r="B272" s="2" t="n">
        <v>46321</v>
      </c>
      <c r="C272" s="1" t="n">
        <v>0</v>
      </c>
      <c r="D272" s="1" t="n">
        <v>0</v>
      </c>
    </row>
    <row r="273" ht="13" customHeight="1">
      <c r="A273" s="1" t="inlineStr">
        <is>
          <t>BKK27</t>
        </is>
      </c>
      <c r="B273" s="2" t="n">
        <v>46317</v>
      </c>
      <c r="C273" s="1" t="n">
        <v>0</v>
      </c>
      <c r="D273" s="1" t="n">
        <v>0</v>
      </c>
    </row>
    <row r="274" ht="13" customHeight="1">
      <c r="A274" s="1" t="inlineStr">
        <is>
          <t>BKK27</t>
        </is>
      </c>
      <c r="B274" s="2" t="n">
        <v>46317</v>
      </c>
      <c r="C274" s="1" t="n">
        <v>0</v>
      </c>
      <c r="D274" s="1" t="n">
        <v>0</v>
      </c>
    </row>
    <row r="275" ht="13" customHeight="1">
      <c r="A275" s="1" t="inlineStr">
        <is>
          <t>BKK27</t>
        </is>
      </c>
      <c r="B275" s="2" t="n">
        <v>46321</v>
      </c>
      <c r="C275" s="1" t="n">
        <v>0</v>
      </c>
      <c r="D275" s="1" t="n">
        <v>0</v>
      </c>
    </row>
    <row r="276" ht="13" customHeight="1">
      <c r="A276" s="1" t="inlineStr">
        <is>
          <t>BKK27</t>
        </is>
      </c>
      <c r="B276" s="2" t="n">
        <v>46316</v>
      </c>
      <c r="C276" s="1" t="n">
        <v>0</v>
      </c>
      <c r="D276" s="1" t="n">
        <v>0</v>
      </c>
    </row>
    <row r="277" ht="13" customHeight="1">
      <c r="A277" s="1" t="inlineStr">
        <is>
          <t>BKK27</t>
        </is>
      </c>
      <c r="B277" s="2" t="n">
        <v>46317</v>
      </c>
      <c r="C277" s="1" t="n">
        <v>0</v>
      </c>
      <c r="D277" s="1" t="n">
        <v>0</v>
      </c>
    </row>
    <row r="278" ht="13" customHeight="1">
      <c r="A278" s="1" t="inlineStr">
        <is>
          <t>BKK27</t>
        </is>
      </c>
      <c r="B278" s="2" t="n">
        <v>46323</v>
      </c>
      <c r="C278" s="1" t="n">
        <v>0</v>
      </c>
      <c r="D278" s="1" t="n">
        <v>0</v>
      </c>
    </row>
    <row r="279" ht="13" customHeight="1">
      <c r="A279" s="1" t="inlineStr">
        <is>
          <t>BKK27</t>
        </is>
      </c>
      <c r="B279" s="2" t="n">
        <v>46323</v>
      </c>
      <c r="C279" s="1" t="n">
        <v>0</v>
      </c>
      <c r="D279" s="1" t="n">
        <v>0</v>
      </c>
    </row>
    <row r="280" ht="13" customHeight="1">
      <c r="A280" s="1" t="inlineStr">
        <is>
          <t>BKK27</t>
        </is>
      </c>
      <c r="B280" s="2" t="n">
        <v>46328</v>
      </c>
      <c r="C280" s="1" t="n">
        <v>0</v>
      </c>
      <c r="D280" s="1" t="n">
        <v>0</v>
      </c>
    </row>
    <row r="281" ht="13" customHeight="1">
      <c r="A281" s="1" t="inlineStr">
        <is>
          <t>BKK27</t>
        </is>
      </c>
      <c r="B281" s="2" t="n">
        <v>46321</v>
      </c>
      <c r="C281" s="1" t="n">
        <v>0</v>
      </c>
      <c r="D281" s="1" t="n">
        <v>0</v>
      </c>
    </row>
    <row r="282" ht="13" customHeight="1">
      <c r="A282" s="1" t="inlineStr">
        <is>
          <t>LCH27</t>
        </is>
      </c>
      <c r="B282" s="2" t="n">
        <v>46321</v>
      </c>
      <c r="C282" s="1" t="n">
        <v>0</v>
      </c>
      <c r="D282" s="1" t="n">
        <v>0</v>
      </c>
    </row>
    <row r="283" ht="13" customHeight="1">
      <c r="A283" s="1" t="inlineStr">
        <is>
          <t>BKK27</t>
        </is>
      </c>
      <c r="B283" s="2" t="n">
        <v>46316</v>
      </c>
      <c r="C283" s="1" t="n">
        <v>0</v>
      </c>
      <c r="D283" s="1" t="n">
        <v>0</v>
      </c>
    </row>
    <row r="284" ht="13" customHeight="1">
      <c r="A284" s="1" t="inlineStr">
        <is>
          <t>BKK27</t>
        </is>
      </c>
      <c r="B284" s="2" t="n">
        <v>46317</v>
      </c>
      <c r="C284" s="1" t="n">
        <v>0</v>
      </c>
      <c r="D284" s="1" t="n">
        <v>0</v>
      </c>
    </row>
    <row r="285" ht="13" customHeight="1">
      <c r="A285" s="1" t="inlineStr">
        <is>
          <t>BKK27</t>
        </is>
      </c>
      <c r="B285" s="2" t="n">
        <v>46322</v>
      </c>
      <c r="C285" s="1" t="n">
        <v>0</v>
      </c>
      <c r="D285" s="1" t="n">
        <v>0</v>
      </c>
    </row>
    <row r="286" ht="13" customHeight="1">
      <c r="A286" s="1" t="inlineStr">
        <is>
          <t>LCH27</t>
        </is>
      </c>
      <c r="B286" s="2" t="n">
        <v>46319</v>
      </c>
      <c r="C286" s="1" t="n">
        <v>0</v>
      </c>
      <c r="D286" s="1" t="n">
        <v>0</v>
      </c>
    </row>
    <row r="287" ht="13" customHeight="1">
      <c r="A287" s="1" t="inlineStr">
        <is>
          <t>BKK27</t>
        </is>
      </c>
      <c r="B287" s="2" t="n">
        <v>46319</v>
      </c>
      <c r="C287" s="1" t="n">
        <v>0</v>
      </c>
      <c r="D287" s="1" t="n">
        <v>0</v>
      </c>
    </row>
    <row r="288" ht="13" customHeight="1">
      <c r="A288" s="1" t="inlineStr">
        <is>
          <t>LCH27</t>
        </is>
      </c>
      <c r="B288" s="2" t="n">
        <v>46317</v>
      </c>
      <c r="C288" s="1" t="n">
        <v>0</v>
      </c>
      <c r="D288" s="1" t="n">
        <v>0</v>
      </c>
    </row>
    <row r="289" ht="13" customHeight="1">
      <c r="A289" s="1" t="inlineStr">
        <is>
          <t>LCH27</t>
        </is>
      </c>
      <c r="B289" s="2" t="n">
        <v>46317</v>
      </c>
      <c r="C289" s="1" t="n">
        <v>0</v>
      </c>
      <c r="D289" s="1" t="n">
        <v>0</v>
      </c>
    </row>
    <row r="290" ht="13" customHeight="1">
      <c r="A290" s="1" t="inlineStr">
        <is>
          <t>LCH27</t>
        </is>
      </c>
      <c r="B290" s="2" t="n">
        <v>46329</v>
      </c>
      <c r="C290" s="1" t="n">
        <v>0</v>
      </c>
      <c r="D290" s="1" t="n">
        <v>0</v>
      </c>
    </row>
    <row r="291" ht="13" customHeight="1">
      <c r="A291" s="1" t="inlineStr">
        <is>
          <t>BKK27</t>
        </is>
      </c>
      <c r="B291" s="2" t="n">
        <v>46316</v>
      </c>
      <c r="C291" s="1" t="n">
        <v>0</v>
      </c>
      <c r="D291" s="1" t="n">
        <v>0</v>
      </c>
    </row>
    <row r="292" ht="13" customHeight="1">
      <c r="A292" s="1" t="inlineStr">
        <is>
          <t>BKK27</t>
        </is>
      </c>
      <c r="B292" s="2" t="n">
        <v>46319</v>
      </c>
      <c r="C292" s="1" t="n">
        <v>0</v>
      </c>
      <c r="D292" s="1" t="n">
        <v>0</v>
      </c>
    </row>
    <row r="293" ht="13" customHeight="1">
      <c r="A293" s="1" t="inlineStr">
        <is>
          <t>BKK27</t>
        </is>
      </c>
      <c r="B293" s="2" t="n">
        <v>46323</v>
      </c>
      <c r="C293" s="1" t="n">
        <v>0</v>
      </c>
      <c r="D293" s="1" t="n">
        <v>0</v>
      </c>
    </row>
    <row r="294" ht="13" customHeight="1">
      <c r="A294" s="1" t="inlineStr">
        <is>
          <t>BKK27</t>
        </is>
      </c>
      <c r="B294" s="2" t="n">
        <v>46323</v>
      </c>
      <c r="C294" s="1" t="n">
        <v>0</v>
      </c>
      <c r="D294" s="1" t="n">
        <v>0</v>
      </c>
    </row>
    <row r="295" ht="13" customHeight="1">
      <c r="A295" s="1" t="inlineStr">
        <is>
          <t>BKK27</t>
        </is>
      </c>
      <c r="B295" s="2" t="n">
        <v>46316</v>
      </c>
      <c r="C295" s="1" t="n">
        <v>0</v>
      </c>
      <c r="D295" s="1" t="n">
        <v>0</v>
      </c>
    </row>
    <row r="296" ht="13" customHeight="1">
      <c r="A296" s="1" t="inlineStr">
        <is>
          <t>BKK27</t>
        </is>
      </c>
      <c r="B296" s="2" t="n">
        <v>46324</v>
      </c>
      <c r="C296" s="1" t="n">
        <v>0</v>
      </c>
      <c r="D296" s="1" t="n">
        <v>0</v>
      </c>
    </row>
    <row r="297" ht="13" customHeight="1">
      <c r="A297" s="1" t="inlineStr">
        <is>
          <t>BKK27</t>
        </is>
      </c>
      <c r="B297" s="2" t="n">
        <v>46314</v>
      </c>
      <c r="C297" s="1" t="n">
        <v>0</v>
      </c>
      <c r="D297" s="1" t="n">
        <v>0</v>
      </c>
    </row>
    <row r="298" ht="13" customHeight="1">
      <c r="A298" s="1" t="inlineStr">
        <is>
          <t>BKK27</t>
        </is>
      </c>
      <c r="B298" s="2" t="n">
        <v>46316</v>
      </c>
      <c r="C298" s="1" t="n">
        <v>0</v>
      </c>
      <c r="D298" s="1" t="n">
        <v>0</v>
      </c>
    </row>
    <row r="299" ht="13" customHeight="1">
      <c r="A299" s="1" t="inlineStr">
        <is>
          <t>BKK27</t>
        </is>
      </c>
      <c r="B299" s="2" t="n">
        <v>46314</v>
      </c>
      <c r="C299" s="1" t="n">
        <v>0</v>
      </c>
      <c r="D299" s="1" t="n">
        <v>0</v>
      </c>
    </row>
    <row r="300" ht="13" customHeight="1">
      <c r="A300" s="1" t="inlineStr">
        <is>
          <t>BKK27</t>
        </is>
      </c>
      <c r="B300" s="2" t="n">
        <v>46314</v>
      </c>
      <c r="C300" s="1" t="n">
        <v>0</v>
      </c>
      <c r="D300" s="1" t="n">
        <v>0</v>
      </c>
    </row>
    <row r="301" ht="13" customHeight="1">
      <c r="A301" s="1" t="inlineStr">
        <is>
          <t>BKK27</t>
        </is>
      </c>
      <c r="B301" s="2" t="n">
        <v>46332</v>
      </c>
      <c r="C301" s="1" t="n">
        <v>0</v>
      </c>
      <c r="D301" s="1" t="n">
        <v>0</v>
      </c>
    </row>
    <row r="302" ht="13" customHeight="1">
      <c r="A302" s="1" t="inlineStr">
        <is>
          <t>BKK27</t>
        </is>
      </c>
      <c r="B302" s="2" t="n">
        <v>46316</v>
      </c>
      <c r="C302" s="1" t="n">
        <v>0</v>
      </c>
      <c r="D302" s="1" t="n">
        <v>0</v>
      </c>
    </row>
    <row r="303" ht="13" customHeight="1">
      <c r="A303" s="1" t="inlineStr">
        <is>
          <t>BKK27</t>
        </is>
      </c>
      <c r="B303" s="2" t="n">
        <v>46321</v>
      </c>
      <c r="C303" s="1" t="n">
        <v>0</v>
      </c>
      <c r="D303" s="1" t="n">
        <v>0</v>
      </c>
    </row>
    <row r="304" ht="13" customHeight="1">
      <c r="A304" s="1" t="inlineStr">
        <is>
          <t>BKK27</t>
        </is>
      </c>
      <c r="B304" s="2" t="n">
        <v>46315</v>
      </c>
      <c r="C304" s="1" t="n">
        <v>0</v>
      </c>
      <c r="D304" s="1" t="n">
        <v>0</v>
      </c>
    </row>
    <row r="305" ht="13" customHeight="1">
      <c r="A305" s="1" t="inlineStr">
        <is>
          <t>BKK27</t>
        </is>
      </c>
      <c r="B305" s="2" t="n">
        <v>46317</v>
      </c>
      <c r="C305" s="1" t="n">
        <v>0</v>
      </c>
      <c r="D305" s="1" t="n">
        <v>0</v>
      </c>
    </row>
    <row r="306" ht="13" customHeight="1">
      <c r="A306" s="1" t="inlineStr">
        <is>
          <t>BKK27</t>
        </is>
      </c>
      <c r="B306" s="2" t="n">
        <v>46315</v>
      </c>
      <c r="C306" s="1" t="n">
        <v>0</v>
      </c>
      <c r="D306" s="1" t="n">
        <v>0</v>
      </c>
    </row>
    <row r="307" ht="13" customHeight="1">
      <c r="A307" s="1" t="inlineStr">
        <is>
          <t>LCH27</t>
        </is>
      </c>
      <c r="B307" s="2" t="n">
        <v>46317</v>
      </c>
      <c r="C307" s="1" t="n">
        <v>0</v>
      </c>
      <c r="D307" s="1" t="n">
        <v>0</v>
      </c>
    </row>
    <row r="308" ht="13" customHeight="1">
      <c r="A308" s="1" t="inlineStr">
        <is>
          <t>LCH27</t>
        </is>
      </c>
      <c r="B308" s="2" t="n">
        <v>46325</v>
      </c>
      <c r="C308" s="1" t="n">
        <v>0</v>
      </c>
      <c r="D308" s="1" t="n">
        <v>0</v>
      </c>
    </row>
    <row r="309" ht="13" customHeight="1">
      <c r="A309" s="1" t="inlineStr">
        <is>
          <t>BKK27</t>
        </is>
      </c>
      <c r="B309" s="2" t="n">
        <v>46314</v>
      </c>
      <c r="C309" s="1" t="n">
        <v>0</v>
      </c>
      <c r="D309" s="1" t="n">
        <v>0</v>
      </c>
    </row>
    <row r="310" ht="13" customHeight="1">
      <c r="A310" s="1" t="inlineStr">
        <is>
          <t>BKK27</t>
        </is>
      </c>
      <c r="B310" s="2" t="n">
        <v>46314</v>
      </c>
      <c r="C310" s="1" t="n">
        <v>0</v>
      </c>
      <c r="D310" s="1" t="n">
        <v>0</v>
      </c>
    </row>
    <row r="311" ht="13" customHeight="1">
      <c r="A311" s="1" t="inlineStr">
        <is>
          <t>BKK27</t>
        </is>
      </c>
      <c r="B311" s="2" t="n">
        <v>46330</v>
      </c>
      <c r="C311" s="1" t="n">
        <v>0</v>
      </c>
      <c r="D311" s="1" t="n">
        <v>0</v>
      </c>
    </row>
    <row r="312" ht="13" customHeight="1">
      <c r="A312" s="1" t="inlineStr">
        <is>
          <t>BKK27</t>
        </is>
      </c>
      <c r="B312" s="2" t="n">
        <v>46316</v>
      </c>
      <c r="C312" s="1" t="n">
        <v>0</v>
      </c>
      <c r="D312" s="1" t="n">
        <v>0</v>
      </c>
    </row>
    <row r="313" ht="13" customHeight="1">
      <c r="A313" s="1" t="inlineStr">
        <is>
          <t>BKK27</t>
        </is>
      </c>
      <c r="B313" s="2" t="n">
        <v>46314</v>
      </c>
      <c r="C313" s="1" t="n">
        <v>0</v>
      </c>
      <c r="D313" s="1" t="n">
        <v>0</v>
      </c>
    </row>
    <row r="314" ht="13" customHeight="1">
      <c r="A314" s="1" t="inlineStr">
        <is>
          <t>BKK27</t>
        </is>
      </c>
      <c r="B314" s="2" t="n">
        <v>46314</v>
      </c>
      <c r="C314" s="1" t="n">
        <v>0</v>
      </c>
      <c r="D314" s="1" t="n">
        <v>0</v>
      </c>
    </row>
    <row r="315" ht="13" customHeight="1">
      <c r="A315" s="1" t="inlineStr">
        <is>
          <t>BKK27</t>
        </is>
      </c>
      <c r="B315" s="2" t="n">
        <v>46316</v>
      </c>
      <c r="C315" s="1" t="n">
        <v>0</v>
      </c>
      <c r="D315" s="1" t="n">
        <v>0</v>
      </c>
    </row>
    <row r="316" ht="13" customHeight="1">
      <c r="A316" s="1" t="inlineStr">
        <is>
          <t>BKK27</t>
        </is>
      </c>
      <c r="B316" s="2" t="n">
        <v>46324</v>
      </c>
      <c r="C316" s="1" t="n">
        <v>0</v>
      </c>
      <c r="D316" s="1" t="n">
        <v>0</v>
      </c>
    </row>
    <row r="317" ht="13" customHeight="1">
      <c r="A317" s="1" t="inlineStr">
        <is>
          <t>LCH27</t>
        </is>
      </c>
      <c r="B317" s="2" t="n">
        <v>46319</v>
      </c>
      <c r="C317" s="1" t="n">
        <v>0</v>
      </c>
      <c r="D317" s="1" t="n">
        <v>0</v>
      </c>
    </row>
    <row r="318" ht="13" customHeight="1">
      <c r="A318" s="1" t="inlineStr">
        <is>
          <t>BKK27</t>
        </is>
      </c>
      <c r="B318" s="2" t="n">
        <v>46324</v>
      </c>
      <c r="C318" s="1" t="n">
        <v>0</v>
      </c>
      <c r="D318" s="1" t="n">
        <v>0</v>
      </c>
    </row>
    <row r="319" ht="13" customHeight="1">
      <c r="A319" s="1" t="inlineStr">
        <is>
          <t>BKK27</t>
        </is>
      </c>
      <c r="B319" s="2" t="n">
        <v>46323</v>
      </c>
      <c r="C319" s="1" t="n">
        <v>0</v>
      </c>
      <c r="D319" s="1" t="n">
        <v>0</v>
      </c>
    </row>
    <row r="320" ht="13" customHeight="1">
      <c r="A320" s="1" t="inlineStr">
        <is>
          <t>LCH27</t>
        </is>
      </c>
      <c r="B320" s="2" t="n">
        <v>46315</v>
      </c>
      <c r="C320" s="1" t="n">
        <v>0</v>
      </c>
      <c r="D320" s="1" t="n">
        <v>0</v>
      </c>
    </row>
    <row r="321" ht="13" customHeight="1">
      <c r="A321" s="1" t="inlineStr">
        <is>
          <t>BKK27</t>
        </is>
      </c>
      <c r="B321" s="2" t="n">
        <v>46321</v>
      </c>
      <c r="C321" s="1" t="n">
        <v>0</v>
      </c>
      <c r="D321" s="1" t="n">
        <v>0</v>
      </c>
    </row>
    <row r="322" ht="13" customHeight="1">
      <c r="A322" s="1" t="inlineStr">
        <is>
          <t>BKK27</t>
        </is>
      </c>
      <c r="B322" s="2" t="n">
        <v>46324</v>
      </c>
      <c r="C322" s="1" t="n">
        <v>0</v>
      </c>
      <c r="D322" s="1" t="n">
        <v>0</v>
      </c>
    </row>
    <row r="323" ht="13" customHeight="1">
      <c r="A323" s="1" t="inlineStr">
        <is>
          <t>BKK27</t>
        </is>
      </c>
      <c r="B323" s="2" t="n">
        <v>46324</v>
      </c>
      <c r="C323" s="1" t="n">
        <v>0</v>
      </c>
      <c r="D323" s="1" t="n">
        <v>0</v>
      </c>
    </row>
    <row r="324" ht="13" customHeight="1">
      <c r="A324" s="1" t="inlineStr">
        <is>
          <t>BKK27</t>
        </is>
      </c>
      <c r="B324" s="2" t="n">
        <v>46314</v>
      </c>
      <c r="C324" s="1" t="n">
        <v>0</v>
      </c>
      <c r="D324" s="1" t="n">
        <v>0</v>
      </c>
    </row>
    <row r="325" ht="13" customHeight="1">
      <c r="A325" s="1" t="inlineStr">
        <is>
          <t>BKK27</t>
        </is>
      </c>
      <c r="B325" s="2" t="n">
        <v>46329</v>
      </c>
      <c r="C325" s="1" t="n">
        <v>0</v>
      </c>
      <c r="D325" s="1" t="n">
        <v>0</v>
      </c>
    </row>
    <row r="326" ht="13" customHeight="1">
      <c r="A326" s="1" t="inlineStr">
        <is>
          <t>BKK27</t>
        </is>
      </c>
      <c r="B326" s="2" t="n">
        <v>46317</v>
      </c>
      <c r="C326" s="1" t="n">
        <v>0</v>
      </c>
      <c r="D326" s="1" t="n">
        <v>0</v>
      </c>
    </row>
    <row r="327" ht="13" customHeight="1">
      <c r="A327" s="1" t="inlineStr">
        <is>
          <t>BKK27</t>
        </is>
      </c>
      <c r="B327" s="2" t="n">
        <v>46316</v>
      </c>
      <c r="C327" s="1" t="n">
        <v>0</v>
      </c>
      <c r="D327" s="1" t="n">
        <v>0</v>
      </c>
    </row>
    <row r="328" ht="13" customHeight="1">
      <c r="A328" s="1" t="inlineStr">
        <is>
          <t>BKK27</t>
        </is>
      </c>
      <c r="B328" s="2" t="n">
        <v>46316</v>
      </c>
      <c r="C328" s="1" t="n">
        <v>0</v>
      </c>
      <c r="D328" s="1" t="n">
        <v>0</v>
      </c>
    </row>
    <row r="329" ht="13" customHeight="1">
      <c r="A329" s="1" t="inlineStr">
        <is>
          <t>LCH27</t>
        </is>
      </c>
      <c r="B329" s="2" t="n">
        <v>46314</v>
      </c>
      <c r="C329" s="1" t="n">
        <v>0</v>
      </c>
      <c r="D329" s="1" t="n">
        <v>0</v>
      </c>
    </row>
    <row r="330" ht="13" customHeight="1">
      <c r="A330" s="1" t="inlineStr">
        <is>
          <t>BKK27</t>
        </is>
      </c>
      <c r="B330" s="2" t="n">
        <v>46321</v>
      </c>
      <c r="C330" s="1" t="n">
        <v>0</v>
      </c>
      <c r="D330" s="1" t="n">
        <v>0</v>
      </c>
    </row>
    <row r="331" ht="13" customHeight="1">
      <c r="A331" s="1" t="inlineStr">
        <is>
          <t>BKK27</t>
        </is>
      </c>
      <c r="B331" s="2" t="n">
        <v>46323</v>
      </c>
      <c r="C331" s="1" t="n">
        <v>0</v>
      </c>
      <c r="D331" s="1" t="n">
        <v>0</v>
      </c>
    </row>
    <row r="332" ht="13" customHeight="1">
      <c r="A332" s="1" t="inlineStr">
        <is>
          <t>BKK27</t>
        </is>
      </c>
      <c r="B332" s="2" t="n">
        <v>46317</v>
      </c>
      <c r="C332" s="1" t="n">
        <v>0</v>
      </c>
      <c r="D332" s="1" t="n">
        <v>0</v>
      </c>
    </row>
    <row r="333" ht="13" customHeight="1">
      <c r="A333" s="1" t="inlineStr">
        <is>
          <t>LCH27</t>
        </is>
      </c>
      <c r="B333" s="2" t="n">
        <v>46321</v>
      </c>
      <c r="C333" s="1" t="n">
        <v>0</v>
      </c>
      <c r="D333" s="1" t="n">
        <v>0</v>
      </c>
    </row>
    <row r="334" ht="13" customHeight="1">
      <c r="A334" s="1" t="inlineStr">
        <is>
          <t>BKK27</t>
        </is>
      </c>
      <c r="B334" s="2" t="n">
        <v>46319</v>
      </c>
      <c r="C334" s="1" t="n">
        <v>0</v>
      </c>
      <c r="D334" s="1" t="n">
        <v>0</v>
      </c>
    </row>
    <row r="335" ht="13" customHeight="1">
      <c r="A335" s="1" t="inlineStr">
        <is>
          <t>LCH27</t>
        </is>
      </c>
      <c r="B335" s="2" t="n">
        <v>46324</v>
      </c>
      <c r="C335" s="1" t="n">
        <v>0</v>
      </c>
      <c r="D335" s="1" t="n">
        <v>0</v>
      </c>
    </row>
    <row r="336" ht="13" customHeight="1">
      <c r="A336" s="1" t="inlineStr">
        <is>
          <t>BKK27</t>
        </is>
      </c>
      <c r="B336" s="2" t="n">
        <v>46314</v>
      </c>
      <c r="C336" s="1" t="n">
        <v>0</v>
      </c>
      <c r="D336" s="1" t="n">
        <v>0</v>
      </c>
    </row>
    <row r="337" ht="13" customHeight="1">
      <c r="A337" s="1" t="inlineStr">
        <is>
          <t>LCH27</t>
        </is>
      </c>
      <c r="B337" s="2" t="n">
        <v>46314</v>
      </c>
      <c r="C337" s="1" t="n">
        <v>0</v>
      </c>
      <c r="D337" s="1" t="n">
        <v>0</v>
      </c>
    </row>
    <row r="338" ht="13" customHeight="1">
      <c r="A338" s="1" t="inlineStr">
        <is>
          <t>BKK27</t>
        </is>
      </c>
      <c r="B338" s="2" t="n">
        <v>46322</v>
      </c>
      <c r="C338" s="1" t="n">
        <v>0</v>
      </c>
      <c r="D338" s="1" t="n">
        <v>0</v>
      </c>
    </row>
    <row r="339" ht="13" customHeight="1">
      <c r="A339" s="1" t="inlineStr">
        <is>
          <t>LCH27</t>
        </is>
      </c>
      <c r="B339" s="2" t="n">
        <v>46319</v>
      </c>
      <c r="C339" s="1" t="n">
        <v>0</v>
      </c>
      <c r="D339" s="1" t="n">
        <v>0</v>
      </c>
    </row>
    <row r="340" ht="13" customHeight="1">
      <c r="A340" s="1" t="inlineStr">
        <is>
          <t>BKK27</t>
        </is>
      </c>
      <c r="B340" s="2" t="n">
        <v>46314</v>
      </c>
      <c r="C340" s="1" t="n">
        <v>0</v>
      </c>
      <c r="D340" s="1" t="n">
        <v>0</v>
      </c>
    </row>
    <row r="341" ht="13" customHeight="1">
      <c r="A341" s="1" t="inlineStr">
        <is>
          <t>BKK27</t>
        </is>
      </c>
      <c r="B341" s="2" t="n">
        <v>46314</v>
      </c>
      <c r="C341" s="1" t="n">
        <v>0</v>
      </c>
      <c r="D341" s="1" t="n">
        <v>0</v>
      </c>
    </row>
    <row r="342" ht="13" customHeight="1">
      <c r="A342" s="1" t="inlineStr">
        <is>
          <t>BKK27</t>
        </is>
      </c>
      <c r="B342" s="2" t="n">
        <v>46317</v>
      </c>
      <c r="C342" s="1" t="n">
        <v>0</v>
      </c>
      <c r="D342" s="1" t="n">
        <v>0</v>
      </c>
    </row>
    <row r="343" ht="13" customHeight="1">
      <c r="A343" s="1" t="inlineStr">
        <is>
          <t>BKK27</t>
        </is>
      </c>
      <c r="B343" s="2" t="n">
        <v>46324</v>
      </c>
      <c r="C343" s="1" t="n">
        <v>0</v>
      </c>
      <c r="D343" s="1" t="n">
        <v>0</v>
      </c>
    </row>
    <row r="344" ht="13" customHeight="1">
      <c r="A344" s="1" t="inlineStr">
        <is>
          <t>LCH27</t>
        </is>
      </c>
      <c r="B344" s="2" t="n">
        <v>46316</v>
      </c>
      <c r="C344" s="1" t="n">
        <v>0</v>
      </c>
      <c r="D344" s="1" t="n">
        <v>0</v>
      </c>
    </row>
    <row r="345" ht="13" customHeight="1">
      <c r="A345" s="1" t="inlineStr">
        <is>
          <t>BKK27</t>
        </is>
      </c>
      <c r="B345" s="2" t="n">
        <v>46330</v>
      </c>
      <c r="C345" s="1" t="n">
        <v>0</v>
      </c>
      <c r="D345" s="1" t="n">
        <v>0</v>
      </c>
    </row>
    <row r="346" ht="13" customHeight="1">
      <c r="A346" s="1" t="inlineStr">
        <is>
          <t>BKK27</t>
        </is>
      </c>
      <c r="B346" s="2" t="n">
        <v>46331</v>
      </c>
      <c r="C346" s="1" t="n">
        <v>0</v>
      </c>
      <c r="D346" s="1" t="n">
        <v>0</v>
      </c>
    </row>
    <row r="347" ht="13" customHeight="1">
      <c r="A347" s="1" t="inlineStr">
        <is>
          <t>BKK27</t>
        </is>
      </c>
      <c r="B347" s="2" t="n">
        <v>46322</v>
      </c>
      <c r="C347" s="1" t="n">
        <v>0</v>
      </c>
      <c r="D347" s="1" t="n">
        <v>0</v>
      </c>
    </row>
    <row r="348" ht="13" customHeight="1">
      <c r="A348" s="1" t="inlineStr">
        <is>
          <t>BKK27</t>
        </is>
      </c>
      <c r="B348" s="2" t="n">
        <v>46315</v>
      </c>
      <c r="C348" s="1" t="n">
        <v>0</v>
      </c>
      <c r="D348" s="1" t="n">
        <v>0</v>
      </c>
    </row>
    <row r="349" ht="13" customHeight="1">
      <c r="A349" s="1" t="inlineStr">
        <is>
          <t>BKK27</t>
        </is>
      </c>
      <c r="B349" s="2" t="n">
        <v>46316</v>
      </c>
      <c r="C349" s="1" t="n">
        <v>0</v>
      </c>
      <c r="D349" s="1" t="n">
        <v>0</v>
      </c>
    </row>
    <row r="350" ht="13" customHeight="1">
      <c r="A350" s="1" t="inlineStr">
        <is>
          <t>BKK27</t>
        </is>
      </c>
      <c r="B350" s="2" t="n">
        <v>46321</v>
      </c>
      <c r="C350" s="1" t="n">
        <v>0</v>
      </c>
      <c r="D350" s="1" t="n">
        <v>0</v>
      </c>
    </row>
    <row r="351" ht="13" customHeight="1">
      <c r="A351" s="1" t="inlineStr">
        <is>
          <t>BKK27</t>
        </is>
      </c>
      <c r="B351" s="2" t="n">
        <v>46330</v>
      </c>
      <c r="C351" s="1" t="n">
        <v>0</v>
      </c>
      <c r="D351" s="1" t="n">
        <v>0</v>
      </c>
    </row>
    <row r="352" ht="13" customHeight="1">
      <c r="A352" s="1" t="inlineStr">
        <is>
          <t>BKK27</t>
        </is>
      </c>
      <c r="B352" s="2" t="n">
        <v>46323</v>
      </c>
      <c r="C352" s="1" t="n">
        <v>0</v>
      </c>
      <c r="D352" s="1" t="n">
        <v>0</v>
      </c>
    </row>
    <row r="353" ht="13" customHeight="1">
      <c r="A353" s="1" t="inlineStr">
        <is>
          <t>BKK27</t>
        </is>
      </c>
      <c r="B353" s="2" t="n">
        <v>46314</v>
      </c>
      <c r="C353" s="1" t="n">
        <v>0</v>
      </c>
      <c r="D353" s="1" t="n">
        <v>0</v>
      </c>
    </row>
    <row r="354" ht="13" customHeight="1">
      <c r="A354" s="1" t="inlineStr">
        <is>
          <t>BKK27</t>
        </is>
      </c>
      <c r="B354" s="2" t="n">
        <v>46321</v>
      </c>
      <c r="C354" s="1" t="n">
        <v>0</v>
      </c>
      <c r="D354" s="1" t="n">
        <v>0</v>
      </c>
    </row>
    <row r="355" ht="13" customHeight="1">
      <c r="A355" s="1" t="inlineStr">
        <is>
          <t>BKK27</t>
        </is>
      </c>
      <c r="B355" s="2" t="n">
        <v>46325</v>
      </c>
      <c r="C355" s="1" t="n">
        <v>0</v>
      </c>
      <c r="D355" s="1" t="n">
        <v>0</v>
      </c>
    </row>
    <row r="356" ht="13" customHeight="1">
      <c r="A356" s="1" t="inlineStr">
        <is>
          <t>BKK27</t>
        </is>
      </c>
      <c r="B356" s="2" t="n">
        <v>46323</v>
      </c>
      <c r="C356" s="1" t="n">
        <v>0</v>
      </c>
      <c r="D356" s="1" t="n">
        <v>0</v>
      </c>
    </row>
    <row r="357" ht="13" customHeight="1">
      <c r="A357" s="1" t="inlineStr">
        <is>
          <t>BKK27</t>
        </is>
      </c>
      <c r="B357" s="2" t="n">
        <v>46316</v>
      </c>
      <c r="C357" s="1" t="n">
        <v>0</v>
      </c>
      <c r="D357" s="1" t="n">
        <v>0</v>
      </c>
    </row>
    <row r="358" ht="13" customHeight="1">
      <c r="A358" s="1" t="inlineStr">
        <is>
          <t>BKK27</t>
        </is>
      </c>
      <c r="B358" s="2" t="n">
        <v>46317</v>
      </c>
      <c r="C358" s="1" t="n">
        <v>0</v>
      </c>
      <c r="D358" s="1" t="n">
        <v>0</v>
      </c>
    </row>
    <row r="359" ht="13" customHeight="1">
      <c r="A359" s="1" t="inlineStr">
        <is>
          <t>BKK27</t>
        </is>
      </c>
      <c r="B359" s="2" t="n">
        <v>46314</v>
      </c>
      <c r="C359" s="1" t="n">
        <v>0</v>
      </c>
      <c r="D359" s="1" t="n">
        <v>0</v>
      </c>
    </row>
    <row r="360" ht="13" customHeight="1">
      <c r="A360" s="1" t="inlineStr">
        <is>
          <t>BKK27</t>
        </is>
      </c>
      <c r="B360" s="2" t="n">
        <v>46323</v>
      </c>
      <c r="C360" s="1" t="n">
        <v>0</v>
      </c>
      <c r="D360" s="1" t="n">
        <v>0</v>
      </c>
    </row>
    <row r="361" ht="13" customHeight="1">
      <c r="A361" s="1" t="inlineStr">
        <is>
          <t>BKK27</t>
        </is>
      </c>
      <c r="B361" s="2" t="n">
        <v>46314</v>
      </c>
      <c r="C361" s="1" t="n">
        <v>0</v>
      </c>
      <c r="D361" s="1" t="n">
        <v>0</v>
      </c>
    </row>
    <row r="362" ht="13" customHeight="1">
      <c r="A362" s="1" t="inlineStr">
        <is>
          <t>BKK27</t>
        </is>
      </c>
      <c r="B362" s="2" t="n">
        <v>46317</v>
      </c>
      <c r="C362" s="1" t="n">
        <v>0</v>
      </c>
      <c r="D362" s="1" t="n">
        <v>0</v>
      </c>
    </row>
    <row r="363" ht="13" customHeight="1">
      <c r="A363" s="1" t="inlineStr">
        <is>
          <t>BKK27</t>
        </is>
      </c>
      <c r="B363" s="2" t="n">
        <v>46324</v>
      </c>
      <c r="C363" s="1" t="n">
        <v>0</v>
      </c>
      <c r="D363" s="1" t="n">
        <v>0</v>
      </c>
    </row>
    <row r="364" ht="13" customHeight="1">
      <c r="A364" s="1" t="inlineStr">
        <is>
          <t>BKK27</t>
        </is>
      </c>
      <c r="B364" s="2" t="n">
        <v>46321</v>
      </c>
      <c r="C364" s="1" t="n">
        <v>0</v>
      </c>
      <c r="D364" s="1" t="n">
        <v>0</v>
      </c>
    </row>
    <row r="365" ht="13" customHeight="1">
      <c r="A365" s="1" t="inlineStr">
        <is>
          <t>BKK27</t>
        </is>
      </c>
      <c r="B365" s="2" t="n">
        <v>46315</v>
      </c>
      <c r="C365" s="1" t="n">
        <v>0</v>
      </c>
      <c r="D365" s="1" t="n">
        <v>0</v>
      </c>
    </row>
    <row r="366" ht="13" customHeight="1">
      <c r="A366" s="1" t="inlineStr">
        <is>
          <t>LCH27</t>
        </is>
      </c>
      <c r="B366" s="2" t="n">
        <v>46322</v>
      </c>
      <c r="C366" s="1" t="n">
        <v>0</v>
      </c>
      <c r="D366" s="1" t="n">
        <v>0</v>
      </c>
    </row>
    <row r="367" ht="13" customHeight="1">
      <c r="A367" s="1" t="inlineStr">
        <is>
          <t>BKK27</t>
        </is>
      </c>
      <c r="B367" s="2" t="n">
        <v>46316</v>
      </c>
      <c r="C367" s="1" t="n">
        <v>0</v>
      </c>
      <c r="D367" s="1" t="n">
        <v>0</v>
      </c>
    </row>
    <row r="368" ht="13" customHeight="1">
      <c r="A368" s="1" t="inlineStr">
        <is>
          <t>LCH27</t>
        </is>
      </c>
      <c r="B368" s="2" t="n">
        <v>46314</v>
      </c>
      <c r="C368" s="1" t="n">
        <v>0</v>
      </c>
      <c r="D368" s="1" t="n">
        <v>0</v>
      </c>
    </row>
    <row r="369" ht="13" customHeight="1">
      <c r="A369" s="1" t="inlineStr">
        <is>
          <t>BKK27</t>
        </is>
      </c>
      <c r="B369" s="2" t="n">
        <v>46314</v>
      </c>
      <c r="C369" s="1" t="n">
        <v>0</v>
      </c>
      <c r="D369" s="1" t="n">
        <v>0</v>
      </c>
    </row>
    <row r="370" ht="13" customHeight="1">
      <c r="A370" s="1" t="inlineStr">
        <is>
          <t>BKK27</t>
        </is>
      </c>
      <c r="B370" s="2" t="n">
        <v>46324</v>
      </c>
      <c r="C370" s="1" t="n">
        <v>0</v>
      </c>
      <c r="D370" s="1" t="n">
        <v>0</v>
      </c>
    </row>
    <row r="371" ht="13" customHeight="1">
      <c r="A371" s="1" t="inlineStr">
        <is>
          <t>BKK27</t>
        </is>
      </c>
      <c r="B371" s="2" t="n">
        <v>46326</v>
      </c>
      <c r="C371" s="1" t="n">
        <v>0</v>
      </c>
      <c r="D371" s="1" t="n">
        <v>0</v>
      </c>
    </row>
    <row r="372" ht="13" customHeight="1">
      <c r="A372" s="1" t="inlineStr">
        <is>
          <t>BKK27</t>
        </is>
      </c>
      <c r="B372" s="2" t="n">
        <v>46324</v>
      </c>
      <c r="C372" s="1" t="n">
        <v>0</v>
      </c>
      <c r="D372" s="1" t="n">
        <v>0</v>
      </c>
    </row>
    <row r="373" ht="13" customHeight="1">
      <c r="A373" s="1" t="inlineStr">
        <is>
          <t>BKK27</t>
        </is>
      </c>
      <c r="B373" s="2" t="n">
        <v>46316</v>
      </c>
      <c r="C373" s="1" t="n">
        <v>0</v>
      </c>
      <c r="D373" s="1" t="n">
        <v>0</v>
      </c>
    </row>
    <row r="374" ht="13" customHeight="1">
      <c r="A374" s="1" t="inlineStr">
        <is>
          <t>BKK27</t>
        </is>
      </c>
      <c r="B374" s="2" t="n">
        <v>46317</v>
      </c>
      <c r="C374" s="1" t="n">
        <v>0</v>
      </c>
      <c r="D374" s="1" t="n">
        <v>0</v>
      </c>
    </row>
    <row r="375" ht="13" customHeight="1">
      <c r="A375" s="1" t="inlineStr">
        <is>
          <t>BKK27</t>
        </is>
      </c>
      <c r="B375" s="2" t="n">
        <v>46315</v>
      </c>
      <c r="C375" s="1" t="n">
        <v>0</v>
      </c>
      <c r="D375" s="1" t="n">
        <v>0</v>
      </c>
    </row>
    <row r="376" ht="13" customHeight="1">
      <c r="A376" s="1" t="inlineStr">
        <is>
          <t>LCH27</t>
        </is>
      </c>
      <c r="B376" s="2" t="n">
        <v>46314</v>
      </c>
      <c r="C376" s="1" t="n">
        <v>0</v>
      </c>
      <c r="D376" s="1" t="n">
        <v>0</v>
      </c>
    </row>
    <row r="377" ht="13" customHeight="1">
      <c r="A377" s="1" t="inlineStr">
        <is>
          <t>BKK27</t>
        </is>
      </c>
      <c r="B377" s="2" t="n">
        <v>46319</v>
      </c>
      <c r="C377" s="1" t="n">
        <v>0</v>
      </c>
      <c r="D377" s="1" t="n">
        <v>0</v>
      </c>
    </row>
    <row r="378" ht="13" customHeight="1">
      <c r="A378" s="1" t="inlineStr">
        <is>
          <t>BKK27</t>
        </is>
      </c>
      <c r="B378" s="2" t="n">
        <v>46314</v>
      </c>
      <c r="C378" s="1" t="n">
        <v>0</v>
      </c>
      <c r="D378" s="1" t="n">
        <v>0</v>
      </c>
    </row>
    <row r="379" ht="13" customHeight="1">
      <c r="A379" s="1" t="inlineStr">
        <is>
          <t>BKK27</t>
        </is>
      </c>
      <c r="B379" s="2" t="n">
        <v>46314</v>
      </c>
      <c r="C379" s="1" t="n">
        <v>0</v>
      </c>
      <c r="D379" s="1" t="n">
        <v>0</v>
      </c>
    </row>
    <row r="380" ht="13" customHeight="1">
      <c r="A380" s="1" t="inlineStr">
        <is>
          <t>BKK27</t>
        </is>
      </c>
      <c r="B380" s="2" t="n">
        <v>46314</v>
      </c>
      <c r="C380" s="1" t="n">
        <v>0</v>
      </c>
      <c r="D380" s="1" t="n">
        <v>0</v>
      </c>
    </row>
    <row r="381" ht="13" customHeight="1">
      <c r="A381" s="1" t="inlineStr">
        <is>
          <t>BKK27</t>
        </is>
      </c>
      <c r="B381" s="2" t="n">
        <v>46330</v>
      </c>
      <c r="C381" s="1" t="n">
        <v>0</v>
      </c>
      <c r="D381" s="1" t="n">
        <v>0</v>
      </c>
    </row>
    <row r="382" ht="13" customHeight="1">
      <c r="A382" s="1" t="inlineStr">
        <is>
          <t>BKK27</t>
        </is>
      </c>
      <c r="B382" s="2" t="n">
        <v>46325</v>
      </c>
      <c r="C382" s="1" t="n">
        <v>0</v>
      </c>
      <c r="D382" s="1" t="n">
        <v>0</v>
      </c>
    </row>
    <row r="383" ht="13" customHeight="1">
      <c r="A383" s="1" t="inlineStr">
        <is>
          <t>BKK27</t>
        </is>
      </c>
      <c r="B383" s="2" t="n">
        <v>46318</v>
      </c>
      <c r="C383" s="1" t="n">
        <v>0</v>
      </c>
      <c r="D383" s="1" t="n">
        <v>0</v>
      </c>
    </row>
    <row r="384" ht="13" customHeight="1">
      <c r="A384" s="1" t="inlineStr">
        <is>
          <t>BKK27</t>
        </is>
      </c>
      <c r="B384" s="2" t="n">
        <v>46314</v>
      </c>
      <c r="C384" s="1" t="n">
        <v>0</v>
      </c>
      <c r="D384" s="1" t="n">
        <v>0</v>
      </c>
    </row>
    <row r="385" ht="13" customHeight="1">
      <c r="A385" s="1" t="inlineStr">
        <is>
          <t>BKK27</t>
        </is>
      </c>
      <c r="B385" s="2" t="n">
        <v>46316</v>
      </c>
      <c r="C385" s="1" t="n">
        <v>0</v>
      </c>
      <c r="D385" s="1" t="n">
        <v>0</v>
      </c>
    </row>
    <row r="386" ht="13" customHeight="1">
      <c r="A386" s="1" t="inlineStr">
        <is>
          <t>BKK27</t>
        </is>
      </c>
      <c r="B386" s="2" t="n">
        <v>46316</v>
      </c>
      <c r="C386" s="1" t="n">
        <v>0</v>
      </c>
      <c r="D386" s="1" t="n">
        <v>0</v>
      </c>
    </row>
    <row r="387" ht="13" customHeight="1">
      <c r="A387" s="1" t="inlineStr">
        <is>
          <t>LCH27</t>
        </is>
      </c>
      <c r="B387" s="2" t="n">
        <v>46321</v>
      </c>
      <c r="C387" s="1" t="n">
        <v>0</v>
      </c>
      <c r="D387" s="1" t="n">
        <v>0</v>
      </c>
    </row>
    <row r="388" ht="13" customHeight="1">
      <c r="A388" s="1" t="inlineStr">
        <is>
          <t>BKK27</t>
        </is>
      </c>
      <c r="B388" s="2" t="n">
        <v>46316</v>
      </c>
      <c r="C388" s="1" t="n">
        <v>0</v>
      </c>
      <c r="D388" s="1" t="n">
        <v>0</v>
      </c>
    </row>
    <row r="389" ht="13" customHeight="1">
      <c r="A389" s="1" t="inlineStr">
        <is>
          <t>BKK27</t>
        </is>
      </c>
      <c r="B389" s="2" t="n">
        <v>46323</v>
      </c>
      <c r="C389" s="1" t="n">
        <v>0</v>
      </c>
      <c r="D389" s="1" t="n">
        <v>0</v>
      </c>
    </row>
    <row r="390" ht="13" customHeight="1">
      <c r="A390" s="1" t="inlineStr">
        <is>
          <t>BKK27</t>
        </is>
      </c>
      <c r="B390" s="2" t="n">
        <v>46321</v>
      </c>
      <c r="C390" s="1" t="n">
        <v>0</v>
      </c>
      <c r="D390" s="1" t="n">
        <v>0</v>
      </c>
    </row>
    <row r="391" ht="13" customHeight="1">
      <c r="A391" s="1" t="inlineStr">
        <is>
          <t>BKK27</t>
        </is>
      </c>
      <c r="B391" s="2" t="n">
        <v>46315</v>
      </c>
      <c r="C391" s="1" t="n">
        <v>0</v>
      </c>
      <c r="D391" s="1" t="n">
        <v>0</v>
      </c>
    </row>
    <row r="392" ht="13" customHeight="1">
      <c r="A392" s="1" t="inlineStr">
        <is>
          <t>BKK27</t>
        </is>
      </c>
      <c r="B392" s="2" t="n">
        <v>46325</v>
      </c>
      <c r="C392" s="1" t="n">
        <v>0</v>
      </c>
      <c r="D392" s="1" t="n">
        <v>0</v>
      </c>
    </row>
    <row r="393" ht="13" customHeight="1">
      <c r="A393" s="1" t="inlineStr">
        <is>
          <t>BKK27</t>
        </is>
      </c>
      <c r="B393" s="2" t="n">
        <v>46316</v>
      </c>
      <c r="C393" s="1" t="n">
        <v>0</v>
      </c>
      <c r="D393" s="1" t="n">
        <v>0</v>
      </c>
    </row>
    <row r="394" ht="13" customHeight="1">
      <c r="A394" s="1" t="inlineStr">
        <is>
          <t>BKK27</t>
        </is>
      </c>
      <c r="B394" s="2" t="n">
        <v>46314</v>
      </c>
      <c r="C394" s="1" t="n">
        <v>0</v>
      </c>
      <c r="D394" s="1" t="n">
        <v>0</v>
      </c>
    </row>
    <row r="395" ht="13" customHeight="1">
      <c r="A395" s="1" t="inlineStr">
        <is>
          <t>BKK27</t>
        </is>
      </c>
      <c r="B395" s="2" t="n">
        <v>46314</v>
      </c>
      <c r="C395" s="1" t="n">
        <v>0</v>
      </c>
      <c r="D395" s="1" t="n">
        <v>0</v>
      </c>
    </row>
    <row r="396" ht="13" customHeight="1">
      <c r="A396" s="1" t="inlineStr">
        <is>
          <t>BKK27</t>
        </is>
      </c>
      <c r="B396" s="2" t="n">
        <v>46317</v>
      </c>
      <c r="C396" s="1" t="n">
        <v>0</v>
      </c>
      <c r="D396" s="1" t="n">
        <v>0</v>
      </c>
    </row>
    <row r="397" ht="13" customHeight="1">
      <c r="A397" s="1" t="inlineStr">
        <is>
          <t>BKK27</t>
        </is>
      </c>
      <c r="B397" s="2" t="n">
        <v>46333</v>
      </c>
      <c r="C397" s="1" t="n">
        <v>0</v>
      </c>
      <c r="D397" s="1" t="n">
        <v>0</v>
      </c>
    </row>
    <row r="398" ht="13" customHeight="1">
      <c r="A398" s="1" t="inlineStr">
        <is>
          <t>BKK27</t>
        </is>
      </c>
      <c r="B398" s="2" t="n">
        <v>46322</v>
      </c>
      <c r="C398" s="1" t="n">
        <v>0</v>
      </c>
      <c r="D398" s="1" t="n">
        <v>0</v>
      </c>
    </row>
    <row r="399" ht="13" customHeight="1">
      <c r="A399" s="1" t="inlineStr">
        <is>
          <t>BKK27</t>
        </is>
      </c>
      <c r="B399" s="2" t="n">
        <v>46317</v>
      </c>
      <c r="C399" s="1" t="n">
        <v>0</v>
      </c>
      <c r="D399" s="1" t="n">
        <v>0</v>
      </c>
    </row>
    <row r="400" ht="13" customHeight="1">
      <c r="A400" s="1" t="inlineStr">
        <is>
          <t>BKK27</t>
        </is>
      </c>
      <c r="B400" s="2" t="n">
        <v>46329</v>
      </c>
      <c r="C400" s="1" t="n">
        <v>0</v>
      </c>
      <c r="D400" s="1" t="n">
        <v>0</v>
      </c>
    </row>
    <row r="401" ht="13" customHeight="1">
      <c r="A401" s="1" t="inlineStr">
        <is>
          <t>BKK27</t>
        </is>
      </c>
      <c r="B401" s="2" t="n">
        <v>46319</v>
      </c>
      <c r="C401" s="1" t="n">
        <v>0</v>
      </c>
      <c r="D401" s="1" t="n">
        <v>0</v>
      </c>
    </row>
    <row r="402" ht="13" customHeight="1">
      <c r="A402" s="1" t="inlineStr">
        <is>
          <t>BKK27</t>
        </is>
      </c>
      <c r="B402" s="2" t="n">
        <v>46322</v>
      </c>
      <c r="C402" s="1" t="n">
        <v>0</v>
      </c>
      <c r="D402" s="1" t="n">
        <v>0</v>
      </c>
    </row>
    <row r="403" ht="13" customHeight="1">
      <c r="A403" s="1" t="inlineStr">
        <is>
          <t>BKK27</t>
        </is>
      </c>
      <c r="B403" s="2" t="n">
        <v>46314</v>
      </c>
      <c r="C403" s="1" t="n">
        <v>0</v>
      </c>
      <c r="D403" s="1" t="n">
        <v>0</v>
      </c>
    </row>
    <row r="404" ht="13" customHeight="1">
      <c r="A404" s="1" t="inlineStr">
        <is>
          <t>BKK27</t>
        </is>
      </c>
      <c r="B404" s="2" t="n">
        <v>46329</v>
      </c>
      <c r="C404" s="1" t="n">
        <v>0</v>
      </c>
      <c r="D404" s="1" t="n">
        <v>0</v>
      </c>
    </row>
    <row r="405" ht="13" customHeight="1">
      <c r="A405" s="1" t="inlineStr">
        <is>
          <t>BKK27</t>
        </is>
      </c>
      <c r="B405" s="2" t="n">
        <v>46321</v>
      </c>
      <c r="C405" s="1" t="n">
        <v>0</v>
      </c>
      <c r="D405" s="1" t="n">
        <v>0</v>
      </c>
    </row>
    <row r="406" ht="13" customHeight="1">
      <c r="A406" s="1" t="inlineStr">
        <is>
          <t>BKK27</t>
        </is>
      </c>
      <c r="B406" s="2" t="n">
        <v>46321</v>
      </c>
      <c r="C406" s="1" t="n">
        <v>0</v>
      </c>
      <c r="D406" s="1" t="n">
        <v>0</v>
      </c>
    </row>
    <row r="407" ht="13" customHeight="1">
      <c r="A407" s="1" t="inlineStr">
        <is>
          <t>BKK27</t>
        </is>
      </c>
      <c r="B407" s="2" t="n">
        <v>46323</v>
      </c>
      <c r="C407" s="1" t="n">
        <v>0</v>
      </c>
      <c r="D407" s="1" t="n">
        <v>0</v>
      </c>
    </row>
    <row r="408" ht="13" customHeight="1">
      <c r="A408" s="1" t="inlineStr">
        <is>
          <t>BKK27</t>
        </is>
      </c>
      <c r="B408" s="2" t="n">
        <v>46322</v>
      </c>
      <c r="C408" s="1" t="n">
        <v>0</v>
      </c>
      <c r="D408" s="1" t="n">
        <v>0</v>
      </c>
    </row>
    <row r="409" ht="13" customHeight="1">
      <c r="A409" s="1" t="inlineStr">
        <is>
          <t>BKK27</t>
        </is>
      </c>
      <c r="B409" s="2" t="n">
        <v>46330</v>
      </c>
      <c r="C409" s="1" t="n">
        <v>0</v>
      </c>
      <c r="D409" s="1" t="n">
        <v>0</v>
      </c>
    </row>
    <row r="410" ht="13" customHeight="1">
      <c r="A410" s="1" t="inlineStr">
        <is>
          <t>BKK27</t>
        </is>
      </c>
      <c r="B410" s="2" t="n">
        <v>46326</v>
      </c>
      <c r="C410" s="1" t="n">
        <v>0</v>
      </c>
      <c r="D410" s="1" t="n">
        <v>0</v>
      </c>
    </row>
    <row r="411" ht="13" customHeight="1">
      <c r="A411" s="1" t="inlineStr">
        <is>
          <t>BKK27</t>
        </is>
      </c>
      <c r="B411" s="2" t="n">
        <v>46314</v>
      </c>
      <c r="C411" s="1" t="n">
        <v>0</v>
      </c>
      <c r="D411" s="1" t="n">
        <v>0</v>
      </c>
    </row>
    <row r="412" ht="13" customHeight="1">
      <c r="A412" s="1" t="inlineStr">
        <is>
          <t>BKK27</t>
        </is>
      </c>
      <c r="B412" s="2" t="n">
        <v>46328</v>
      </c>
      <c r="C412" s="1" t="n">
        <v>0</v>
      </c>
      <c r="D412" s="1" t="n">
        <v>0</v>
      </c>
    </row>
    <row r="413" ht="13" customHeight="1">
      <c r="A413" s="1" t="inlineStr">
        <is>
          <t>BKK27</t>
        </is>
      </c>
      <c r="B413" s="2" t="n">
        <v>46314</v>
      </c>
      <c r="C413" s="1" t="n">
        <v>0</v>
      </c>
      <c r="D413" s="1" t="n">
        <v>0</v>
      </c>
    </row>
    <row r="414" ht="13" customHeight="1">
      <c r="A414" s="1" t="inlineStr">
        <is>
          <t>BKK27</t>
        </is>
      </c>
      <c r="B414" s="2" t="n">
        <v>46314</v>
      </c>
      <c r="C414" s="1" t="n">
        <v>0</v>
      </c>
      <c r="D414" s="1" t="n">
        <v>0</v>
      </c>
    </row>
    <row r="415" ht="13" customHeight="1">
      <c r="A415" s="1" t="inlineStr">
        <is>
          <t>BKK27</t>
        </is>
      </c>
      <c r="B415" s="2" t="n">
        <v>46319</v>
      </c>
      <c r="C415" s="1" t="n">
        <v>0</v>
      </c>
      <c r="D415" s="1" t="n">
        <v>0</v>
      </c>
    </row>
    <row r="416" ht="13" customHeight="1">
      <c r="A416" s="1" t="inlineStr">
        <is>
          <t>BKK27</t>
        </is>
      </c>
      <c r="B416" s="2" t="n">
        <v>46319</v>
      </c>
      <c r="C416" s="1" t="n">
        <v>0</v>
      </c>
      <c r="D416" s="1" t="n">
        <v>0</v>
      </c>
    </row>
    <row r="417" ht="13" customHeight="1">
      <c r="A417" s="1" t="inlineStr">
        <is>
          <t>BKK27</t>
        </is>
      </c>
      <c r="B417" s="2" t="n">
        <v>46322</v>
      </c>
      <c r="C417" s="1" t="n">
        <v>0</v>
      </c>
      <c r="D417" s="1" t="n">
        <v>0</v>
      </c>
    </row>
    <row r="418" ht="13" customHeight="1">
      <c r="A418" s="1" t="inlineStr">
        <is>
          <t>BKK27</t>
        </is>
      </c>
      <c r="B418" s="2" t="n">
        <v>46330</v>
      </c>
      <c r="C418" s="1" t="n">
        <v>0</v>
      </c>
      <c r="D418" s="1" t="n">
        <v>0</v>
      </c>
    </row>
    <row r="419" ht="13" customHeight="1">
      <c r="A419" s="1" t="inlineStr">
        <is>
          <t>LCH27</t>
        </is>
      </c>
      <c r="B419" s="2" t="n">
        <v>46328</v>
      </c>
      <c r="C419" s="1" t="n">
        <v>0</v>
      </c>
      <c r="D419" s="1" t="n">
        <v>0</v>
      </c>
    </row>
    <row r="420" ht="13" customHeight="1">
      <c r="A420" s="1" t="inlineStr">
        <is>
          <t>LCH27</t>
        </is>
      </c>
      <c r="B420" s="2" t="n">
        <v>46326</v>
      </c>
      <c r="C420" s="1" t="n">
        <v>0</v>
      </c>
      <c r="D420" s="1" t="n">
        <v>0</v>
      </c>
    </row>
    <row r="421" ht="13" customHeight="1">
      <c r="A421" s="1" t="inlineStr">
        <is>
          <t>BKK27</t>
        </is>
      </c>
      <c r="B421" s="2" t="n">
        <v>46317</v>
      </c>
      <c r="C421" s="1" t="n">
        <v>0</v>
      </c>
      <c r="D421" s="1" t="n">
        <v>0</v>
      </c>
    </row>
    <row r="422" ht="13" customHeight="1">
      <c r="A422" s="1" t="inlineStr">
        <is>
          <t>BKK27</t>
        </is>
      </c>
      <c r="B422" s="2" t="n">
        <v>46321</v>
      </c>
      <c r="C422" s="1" t="n">
        <v>0</v>
      </c>
      <c r="D422" s="1" t="n">
        <v>0</v>
      </c>
    </row>
    <row r="423" ht="13" customHeight="1">
      <c r="A423" s="1" t="inlineStr">
        <is>
          <t>BKK27</t>
        </is>
      </c>
      <c r="B423" s="2" t="n">
        <v>46323</v>
      </c>
      <c r="C423" s="1" t="n">
        <v>0</v>
      </c>
      <c r="D423" s="1" t="n">
        <v>0</v>
      </c>
    </row>
    <row r="424" ht="13" customHeight="1">
      <c r="A424" s="1" t="inlineStr">
        <is>
          <t>BKK27</t>
        </is>
      </c>
      <c r="B424" s="2" t="n">
        <v>46315</v>
      </c>
      <c r="C424" s="1" t="n">
        <v>0</v>
      </c>
      <c r="D424" s="1" t="n">
        <v>0</v>
      </c>
    </row>
    <row r="425" ht="13" customHeight="1">
      <c r="A425" s="1" t="inlineStr">
        <is>
          <t>BKK27</t>
        </is>
      </c>
      <c r="B425" s="2" t="n">
        <v>46321</v>
      </c>
      <c r="C425" s="1" t="n">
        <v>0</v>
      </c>
      <c r="D425" s="1" t="n">
        <v>0</v>
      </c>
    </row>
    <row r="426" ht="13" customHeight="1">
      <c r="A426" s="1" t="inlineStr">
        <is>
          <t>BKK27</t>
        </is>
      </c>
      <c r="B426" s="2" t="n">
        <v>46322</v>
      </c>
      <c r="C426" s="1" t="n">
        <v>0</v>
      </c>
      <c r="D426" s="1" t="n">
        <v>0</v>
      </c>
    </row>
    <row r="427" ht="13" customHeight="1">
      <c r="A427" s="1" t="inlineStr">
        <is>
          <t>BKK27</t>
        </is>
      </c>
      <c r="B427" s="2" t="n">
        <v>46325</v>
      </c>
      <c r="C427" s="1" t="n">
        <v>0</v>
      </c>
      <c r="D427" s="1" t="n">
        <v>0</v>
      </c>
    </row>
    <row r="428" ht="13" customHeight="1">
      <c r="A428" s="1" t="inlineStr">
        <is>
          <t>BKK27</t>
        </is>
      </c>
      <c r="B428" s="2" t="n">
        <v>46314</v>
      </c>
      <c r="C428" s="1" t="n">
        <v>0</v>
      </c>
      <c r="D428" s="1" t="n">
        <v>0</v>
      </c>
    </row>
    <row r="429" ht="13" customHeight="1">
      <c r="A429" s="1" t="inlineStr">
        <is>
          <t>BKK27</t>
        </is>
      </c>
      <c r="B429" s="2" t="n">
        <v>46315</v>
      </c>
      <c r="C429" s="1" t="n">
        <v>0</v>
      </c>
      <c r="D429" s="1" t="n">
        <v>0</v>
      </c>
    </row>
    <row r="430" ht="13" customHeight="1">
      <c r="A430" s="1" t="inlineStr">
        <is>
          <t>BKK27</t>
        </is>
      </c>
      <c r="B430" s="2" t="n">
        <v>46329</v>
      </c>
      <c r="C430" s="1" t="n">
        <v>0</v>
      </c>
      <c r="D430" s="1" t="n">
        <v>0</v>
      </c>
    </row>
    <row r="431" ht="13" customHeight="1">
      <c r="A431" s="1" t="inlineStr">
        <is>
          <t>BKK27</t>
        </is>
      </c>
      <c r="B431" s="2" t="n">
        <v>46314</v>
      </c>
      <c r="C431" s="1" t="n">
        <v>0</v>
      </c>
      <c r="D431" s="1" t="n">
        <v>0</v>
      </c>
    </row>
    <row r="432" ht="13" customHeight="1">
      <c r="A432" s="1" t="inlineStr">
        <is>
          <t>BKK27</t>
        </is>
      </c>
      <c r="B432" s="2" t="n">
        <v>46326</v>
      </c>
      <c r="C432" s="1" t="n">
        <v>0</v>
      </c>
      <c r="D432" s="1" t="n">
        <v>0</v>
      </c>
    </row>
    <row r="433" ht="13" customHeight="1">
      <c r="A433" s="1" t="inlineStr">
        <is>
          <t>BKK27</t>
        </is>
      </c>
      <c r="B433" s="2" t="n">
        <v>46314</v>
      </c>
      <c r="C433" s="1" t="n">
        <v>0</v>
      </c>
      <c r="D433" s="1" t="n">
        <v>0</v>
      </c>
    </row>
    <row r="434" ht="13" customHeight="1">
      <c r="A434" s="1" t="inlineStr">
        <is>
          <t>LCH27</t>
        </is>
      </c>
      <c r="B434" s="2" t="n">
        <v>46322</v>
      </c>
      <c r="C434" s="1" t="n">
        <v>0</v>
      </c>
      <c r="D434" s="1" t="n">
        <v>0</v>
      </c>
    </row>
    <row r="435" ht="13" customHeight="1">
      <c r="A435" s="1" t="inlineStr">
        <is>
          <t>BKK27</t>
        </is>
      </c>
      <c r="B435" s="2" t="n">
        <v>46316</v>
      </c>
      <c r="C435" s="1" t="n">
        <v>0</v>
      </c>
      <c r="D435" s="1" t="n">
        <v>0</v>
      </c>
    </row>
    <row r="436" ht="13" customHeight="1">
      <c r="A436" s="1" t="inlineStr">
        <is>
          <t>BKK27</t>
        </is>
      </c>
      <c r="B436" s="2" t="n">
        <v>46315</v>
      </c>
      <c r="C436" s="1" t="n">
        <v>0</v>
      </c>
      <c r="D436" s="1" t="n">
        <v>0</v>
      </c>
    </row>
    <row r="437" ht="13" customHeight="1">
      <c r="A437" s="1" t="inlineStr">
        <is>
          <t>BKK27</t>
        </is>
      </c>
      <c r="B437" s="2" t="n">
        <v>46317</v>
      </c>
      <c r="C437" s="1" t="n">
        <v>0</v>
      </c>
      <c r="D437" s="1" t="n">
        <v>0</v>
      </c>
    </row>
    <row r="438" ht="13" customHeight="1">
      <c r="A438" s="1" t="inlineStr">
        <is>
          <t>BKK27</t>
        </is>
      </c>
      <c r="B438" s="2" t="n">
        <v>46324</v>
      </c>
      <c r="C438" s="1" t="n">
        <v>0</v>
      </c>
      <c r="D438" s="1" t="n">
        <v>0</v>
      </c>
    </row>
    <row r="439" ht="13" customHeight="1">
      <c r="A439" s="1" t="inlineStr">
        <is>
          <t>BKK27</t>
        </is>
      </c>
      <c r="B439" s="2" t="n">
        <v>46316</v>
      </c>
      <c r="C439" s="1" t="n">
        <v>0</v>
      </c>
      <c r="D439" s="1" t="n">
        <v>0</v>
      </c>
    </row>
    <row r="440" ht="13" customHeight="1">
      <c r="A440" s="1" t="inlineStr">
        <is>
          <t>BKK27</t>
        </is>
      </c>
      <c r="B440" s="2" t="n">
        <v>46330</v>
      </c>
      <c r="C440" s="1" t="n">
        <v>0</v>
      </c>
      <c r="D440" s="1" t="n">
        <v>0</v>
      </c>
    </row>
    <row r="441" ht="13" customHeight="1">
      <c r="A441" s="1" t="inlineStr">
        <is>
          <t>BKK27</t>
        </is>
      </c>
      <c r="B441" s="2" t="n">
        <v>46319</v>
      </c>
      <c r="C441" s="1" t="n">
        <v>0</v>
      </c>
      <c r="D441" s="1" t="n">
        <v>0</v>
      </c>
    </row>
    <row r="442" ht="13" customHeight="1">
      <c r="A442" s="1" t="inlineStr">
        <is>
          <t>BKK27</t>
        </is>
      </c>
      <c r="B442" s="2" t="n">
        <v>46324</v>
      </c>
      <c r="C442" s="1" t="n">
        <v>0</v>
      </c>
      <c r="D442" s="1" t="n">
        <v>0</v>
      </c>
    </row>
    <row r="443" ht="13" customHeight="1">
      <c r="A443" s="1" t="inlineStr">
        <is>
          <t>BKK27</t>
        </is>
      </c>
      <c r="B443" s="2" t="n">
        <v>46314</v>
      </c>
      <c r="C443" s="1" t="n">
        <v>0</v>
      </c>
      <c r="D443" s="1" t="n">
        <v>0</v>
      </c>
    </row>
    <row r="444" ht="13" customHeight="1">
      <c r="A444" s="1" t="inlineStr">
        <is>
          <t>BKK27</t>
        </is>
      </c>
      <c r="B444" s="2" t="n">
        <v>46332</v>
      </c>
      <c r="C444" s="1" t="n">
        <v>0</v>
      </c>
      <c r="D444" s="1" t="n">
        <v>0</v>
      </c>
    </row>
    <row r="445" ht="13" customHeight="1">
      <c r="A445" s="1" t="inlineStr">
        <is>
          <t>BKK27</t>
        </is>
      </c>
      <c r="B445" s="2" t="n">
        <v>46330</v>
      </c>
      <c r="C445" s="1" t="n">
        <v>0</v>
      </c>
      <c r="D445" s="1" t="n">
        <v>0</v>
      </c>
    </row>
    <row r="446" ht="13" customHeight="1">
      <c r="A446" s="1" t="inlineStr">
        <is>
          <t>BKK27</t>
        </is>
      </c>
      <c r="B446" s="2" t="n">
        <v>46329</v>
      </c>
      <c r="C446" s="1" t="n">
        <v>0</v>
      </c>
      <c r="D446" s="1" t="n">
        <v>0</v>
      </c>
    </row>
    <row r="447" ht="13" customHeight="1">
      <c r="A447" s="1" t="inlineStr">
        <is>
          <t>BKK27</t>
        </is>
      </c>
      <c r="B447" s="2" t="n">
        <v>46332</v>
      </c>
      <c r="C447" s="1" t="n">
        <v>0</v>
      </c>
      <c r="D447" s="1" t="n">
        <v>0</v>
      </c>
    </row>
    <row r="448" ht="13" customHeight="1">
      <c r="A448" s="1" t="inlineStr">
        <is>
          <t>BKK27</t>
        </is>
      </c>
      <c r="B448" s="2" t="n">
        <v>46315</v>
      </c>
      <c r="C448" s="1" t="n">
        <v>0</v>
      </c>
      <c r="D448" s="1" t="n">
        <v>0</v>
      </c>
    </row>
    <row r="449" ht="13" customHeight="1">
      <c r="A449" s="1" t="inlineStr">
        <is>
          <t>BKK27</t>
        </is>
      </c>
      <c r="B449" s="2" t="n">
        <v>46316</v>
      </c>
      <c r="C449" s="1" t="n">
        <v>0</v>
      </c>
      <c r="D449" s="1" t="n">
        <v>0</v>
      </c>
    </row>
    <row r="450" ht="13" customHeight="1">
      <c r="A450" s="1" t="inlineStr">
        <is>
          <t>BKK27</t>
        </is>
      </c>
      <c r="B450" s="2" t="n">
        <v>46323</v>
      </c>
      <c r="C450" s="1" t="n">
        <v>0</v>
      </c>
      <c r="D450" s="1" t="n">
        <v>0</v>
      </c>
    </row>
    <row r="451" ht="13" customHeight="1">
      <c r="A451" s="1" t="inlineStr">
        <is>
          <t>BKK27</t>
        </is>
      </c>
      <c r="B451" s="2" t="n">
        <v>46319</v>
      </c>
      <c r="C451" s="1" t="n">
        <v>0</v>
      </c>
      <c r="D451" s="1" t="n">
        <v>0</v>
      </c>
    </row>
    <row r="452" ht="13" customHeight="1">
      <c r="A452" s="1" t="inlineStr">
        <is>
          <t>BKK27</t>
        </is>
      </c>
      <c r="B452" s="2" t="n">
        <v>46321</v>
      </c>
      <c r="C452" s="1" t="n">
        <v>0</v>
      </c>
      <c r="D452" s="1" t="n">
        <v>0</v>
      </c>
    </row>
    <row r="453" ht="13" customHeight="1">
      <c r="A453" s="1" t="inlineStr">
        <is>
          <t>BKK27</t>
        </is>
      </c>
      <c r="B453" s="2" t="n">
        <v>46325</v>
      </c>
      <c r="C453" s="1" t="n">
        <v>0</v>
      </c>
      <c r="D453" s="1" t="n">
        <v>0</v>
      </c>
    </row>
    <row r="454" ht="13" customHeight="1">
      <c r="A454" s="1" t="inlineStr">
        <is>
          <t>BKK27</t>
        </is>
      </c>
      <c r="B454" s="2" t="n">
        <v>46323</v>
      </c>
      <c r="C454" s="1" t="n">
        <v>0</v>
      </c>
      <c r="D454" s="1" t="n">
        <v>0</v>
      </c>
    </row>
    <row r="455" ht="13" customHeight="1">
      <c r="A455" s="1" t="inlineStr">
        <is>
          <t>BKK27</t>
        </is>
      </c>
      <c r="B455" s="2" t="n">
        <v>46314</v>
      </c>
      <c r="C455" s="1" t="n">
        <v>0</v>
      </c>
      <c r="D455" s="1" t="n">
        <v>0</v>
      </c>
    </row>
    <row r="456" ht="13" customHeight="1">
      <c r="A456" s="1" t="inlineStr">
        <is>
          <t>LCH27</t>
        </is>
      </c>
      <c r="B456" s="2" t="n">
        <v>46317</v>
      </c>
      <c r="C456" s="1" t="n">
        <v>0</v>
      </c>
      <c r="D456" s="1" t="n">
        <v>0</v>
      </c>
    </row>
    <row r="457" ht="13" customHeight="1">
      <c r="A457" s="1" t="inlineStr">
        <is>
          <t>BKK27</t>
        </is>
      </c>
      <c r="B457" s="2" t="n">
        <v>46325</v>
      </c>
      <c r="C457" s="1" t="n">
        <v>0</v>
      </c>
      <c r="D457" s="1" t="n">
        <v>0</v>
      </c>
    </row>
    <row r="458" ht="13" customHeight="1">
      <c r="A458" s="1" t="inlineStr">
        <is>
          <t>BKK27</t>
        </is>
      </c>
      <c r="B458" s="2" t="n">
        <v>46314</v>
      </c>
      <c r="C458" s="1" t="n">
        <v>0</v>
      </c>
      <c r="D458" s="1" t="n">
        <v>0</v>
      </c>
    </row>
    <row r="459" ht="13" customHeight="1">
      <c r="A459" s="1" t="inlineStr">
        <is>
          <t>BKK27</t>
        </is>
      </c>
      <c r="B459" s="2" t="n">
        <v>46324</v>
      </c>
      <c r="C459" s="1" t="n">
        <v>0</v>
      </c>
      <c r="D459" s="1" t="n">
        <v>0</v>
      </c>
    </row>
    <row r="460" ht="13" customHeight="1">
      <c r="A460" s="1" t="inlineStr">
        <is>
          <t>BKK27</t>
        </is>
      </c>
      <c r="B460" s="2" t="n">
        <v>46319</v>
      </c>
      <c r="C460" s="1" t="n">
        <v>0</v>
      </c>
      <c r="D460" s="1" t="n">
        <v>0</v>
      </c>
    </row>
    <row r="461" ht="13" customHeight="1">
      <c r="A461" s="1" t="inlineStr">
        <is>
          <t>BKK27</t>
        </is>
      </c>
      <c r="B461" s="2" t="n">
        <v>46316</v>
      </c>
      <c r="C461" s="1" t="n">
        <v>0</v>
      </c>
      <c r="D461" s="1" t="n">
        <v>0</v>
      </c>
    </row>
    <row r="462" ht="13" customHeight="1">
      <c r="A462" s="1" t="inlineStr">
        <is>
          <t>BKK27</t>
        </is>
      </c>
      <c r="B462" s="2" t="n">
        <v>46323</v>
      </c>
      <c r="C462" s="1" t="n">
        <v>0</v>
      </c>
      <c r="D462" s="1" t="n">
        <v>0</v>
      </c>
    </row>
    <row r="463" ht="13" customHeight="1">
      <c r="A463" s="1" t="inlineStr">
        <is>
          <t>BKK27</t>
        </is>
      </c>
      <c r="B463" s="2" t="n">
        <v>46317</v>
      </c>
      <c r="C463" s="1" t="n">
        <v>0</v>
      </c>
      <c r="D463" s="1" t="n">
        <v>0</v>
      </c>
    </row>
    <row r="464" ht="13" customHeight="1">
      <c r="A464" s="1" t="inlineStr">
        <is>
          <t>LCH27</t>
        </is>
      </c>
      <c r="B464" s="2" t="n">
        <v>46316</v>
      </c>
      <c r="C464" s="1" t="n">
        <v>0</v>
      </c>
      <c r="D464" s="1" t="n">
        <v>0</v>
      </c>
    </row>
    <row r="465" ht="13" customHeight="1">
      <c r="A465" s="1" t="inlineStr">
        <is>
          <t>BKK27</t>
        </is>
      </c>
      <c r="B465" s="2" t="n">
        <v>46315</v>
      </c>
      <c r="C465" s="1" t="n">
        <v>0</v>
      </c>
      <c r="D465" s="1" t="n">
        <v>0</v>
      </c>
    </row>
    <row r="466" ht="13" customHeight="1">
      <c r="A466" s="1" t="inlineStr">
        <is>
          <t>BKK27</t>
        </is>
      </c>
      <c r="B466" s="2" t="n">
        <v>46321</v>
      </c>
      <c r="C466" s="1" t="n">
        <v>0</v>
      </c>
      <c r="D466" s="1" t="n">
        <v>0</v>
      </c>
    </row>
    <row r="467" ht="13" customHeight="1">
      <c r="A467" s="1" t="inlineStr">
        <is>
          <t>BKK27</t>
        </is>
      </c>
      <c r="B467" s="2" t="n">
        <v>46315</v>
      </c>
      <c r="C467" s="1" t="n">
        <v>0</v>
      </c>
      <c r="D467" s="1" t="n">
        <v>0</v>
      </c>
    </row>
    <row r="468" ht="13" customHeight="1">
      <c r="A468" s="1" t="inlineStr">
        <is>
          <t>BKK27</t>
        </is>
      </c>
      <c r="B468" s="2" t="n">
        <v>46314</v>
      </c>
      <c r="C468" s="1" t="n">
        <v>0</v>
      </c>
      <c r="D468" s="1" t="n">
        <v>0</v>
      </c>
    </row>
    <row r="469" ht="13" customHeight="1">
      <c r="A469" s="1" t="inlineStr">
        <is>
          <t>BKK27</t>
        </is>
      </c>
      <c r="B469" s="2" t="n">
        <v>46329</v>
      </c>
      <c r="C469" s="1" t="n">
        <v>0</v>
      </c>
      <c r="D469" s="1" t="n">
        <v>0</v>
      </c>
    </row>
    <row r="470" ht="13" customHeight="1">
      <c r="A470" s="1" t="inlineStr">
        <is>
          <t>BKK27</t>
        </is>
      </c>
      <c r="B470" s="2" t="n">
        <v>46321</v>
      </c>
      <c r="C470" s="1" t="n">
        <v>0</v>
      </c>
      <c r="D470" s="1" t="n">
        <v>0</v>
      </c>
    </row>
    <row r="471" ht="13" customHeight="1">
      <c r="A471" s="1" t="inlineStr">
        <is>
          <t>BKK27</t>
        </is>
      </c>
      <c r="B471" s="2" t="n">
        <v>46333</v>
      </c>
      <c r="C471" s="1" t="n">
        <v>0</v>
      </c>
      <c r="D471" s="1" t="n">
        <v>0</v>
      </c>
    </row>
    <row r="472" ht="13" customHeight="1">
      <c r="A472" s="1" t="inlineStr">
        <is>
          <t>BKK27</t>
        </is>
      </c>
      <c r="B472" s="2" t="n">
        <v>46330</v>
      </c>
      <c r="C472" s="1" t="n">
        <v>0</v>
      </c>
      <c r="D472" s="1" t="n">
        <v>0</v>
      </c>
    </row>
    <row r="473" ht="13" customHeight="1">
      <c r="A473" s="1" t="inlineStr">
        <is>
          <t>BKK27</t>
        </is>
      </c>
      <c r="B473" s="2" t="n">
        <v>46314</v>
      </c>
      <c r="C473" s="1" t="n">
        <v>0</v>
      </c>
      <c r="D473" s="1" t="n">
        <v>0</v>
      </c>
    </row>
    <row r="474" ht="13" customHeight="1">
      <c r="A474" s="1" t="inlineStr">
        <is>
          <t>BKK27</t>
        </is>
      </c>
      <c r="B474" s="2" t="n">
        <v>46326</v>
      </c>
      <c r="C474" s="1" t="n">
        <v>0</v>
      </c>
      <c r="D474" s="1" t="n">
        <v>0</v>
      </c>
    </row>
    <row r="475" ht="13" customHeight="1">
      <c r="A475" s="1" t="inlineStr">
        <is>
          <t>BKK27</t>
        </is>
      </c>
      <c r="B475" s="2" t="n">
        <v>46316</v>
      </c>
      <c r="C475" s="1" t="n">
        <v>0</v>
      </c>
      <c r="D475" s="1" t="n">
        <v>0</v>
      </c>
    </row>
    <row r="476" ht="13" customHeight="1">
      <c r="A476" s="1" t="inlineStr">
        <is>
          <t>BKK27</t>
        </is>
      </c>
      <c r="B476" s="2" t="n">
        <v>46330</v>
      </c>
      <c r="C476" s="1" t="n">
        <v>0</v>
      </c>
      <c r="D476" s="1" t="n">
        <v>0</v>
      </c>
    </row>
    <row r="477" ht="13" customHeight="1">
      <c r="A477" s="1" t="inlineStr">
        <is>
          <t>BKK27</t>
        </is>
      </c>
      <c r="B477" s="2" t="n">
        <v>46326</v>
      </c>
      <c r="C477" s="1" t="n">
        <v>0</v>
      </c>
      <c r="D477" s="1" t="n">
        <v>0</v>
      </c>
    </row>
    <row r="478" ht="13" customHeight="1">
      <c r="A478" s="1" t="inlineStr">
        <is>
          <t>BKK27</t>
        </is>
      </c>
      <c r="B478" s="2" t="n">
        <v>46316</v>
      </c>
      <c r="C478" s="1" t="n">
        <v>0</v>
      </c>
      <c r="D478" s="1" t="n">
        <v>0</v>
      </c>
    </row>
    <row r="479" ht="13" customHeight="1">
      <c r="A479" s="1" t="inlineStr">
        <is>
          <t>BKK27</t>
        </is>
      </c>
      <c r="B479" s="2" t="n">
        <v>46323</v>
      </c>
      <c r="C479" s="1" t="n">
        <v>0</v>
      </c>
      <c r="D479" s="1" t="n">
        <v>0</v>
      </c>
    </row>
    <row r="480" ht="13" customHeight="1">
      <c r="A480" s="1" t="inlineStr">
        <is>
          <t>BKK27</t>
        </is>
      </c>
      <c r="B480" s="2" t="n">
        <v>46319</v>
      </c>
      <c r="C480" s="1" t="n">
        <v>0</v>
      </c>
      <c r="D480" s="1" t="n">
        <v>0</v>
      </c>
    </row>
    <row r="481" ht="13" customHeight="1">
      <c r="A481" s="1" t="inlineStr">
        <is>
          <t>BKK27</t>
        </is>
      </c>
      <c r="B481" s="2" t="n">
        <v>46323</v>
      </c>
      <c r="C481" s="1" t="n">
        <v>0</v>
      </c>
      <c r="D481" s="1" t="n">
        <v>0</v>
      </c>
    </row>
    <row r="482" ht="13" customHeight="1">
      <c r="A482" s="1" t="inlineStr">
        <is>
          <t>LCH27</t>
        </is>
      </c>
      <c r="B482" s="2" t="n">
        <v>46317</v>
      </c>
      <c r="C482" s="1" t="n">
        <v>0</v>
      </c>
      <c r="D482" s="1" t="n">
        <v>0</v>
      </c>
    </row>
    <row r="483" ht="13" customHeight="1">
      <c r="A483" s="1" t="inlineStr">
        <is>
          <t>BKK27</t>
        </is>
      </c>
      <c r="B483" s="2" t="n">
        <v>46316</v>
      </c>
      <c r="C483" s="1" t="n">
        <v>0</v>
      </c>
      <c r="D483" s="1" t="n">
        <v>0</v>
      </c>
    </row>
    <row r="484" ht="13" customHeight="1">
      <c r="A484" s="1" t="inlineStr">
        <is>
          <t>BKK27</t>
        </is>
      </c>
      <c r="B484" s="2" t="n">
        <v>46326</v>
      </c>
      <c r="C484" s="1" t="n">
        <v>0</v>
      </c>
      <c r="D484" s="1" t="n">
        <v>0</v>
      </c>
    </row>
    <row r="485" ht="13" customHeight="1">
      <c r="A485" s="1" t="inlineStr">
        <is>
          <t>LCH27</t>
        </is>
      </c>
      <c r="B485" s="2" t="n">
        <v>46321</v>
      </c>
      <c r="C485" s="1" t="n">
        <v>0</v>
      </c>
      <c r="D485" s="1" t="n">
        <v>0</v>
      </c>
    </row>
    <row r="486" ht="13" customHeight="1">
      <c r="A486" s="1" t="inlineStr">
        <is>
          <t>LCH27</t>
        </is>
      </c>
      <c r="B486" s="2" t="n">
        <v>46314</v>
      </c>
      <c r="C486" s="1" t="n">
        <v>0</v>
      </c>
      <c r="D486" s="1" t="n">
        <v>0</v>
      </c>
    </row>
    <row r="487" ht="13" customHeight="1">
      <c r="A487" s="1" t="inlineStr">
        <is>
          <t>BKK27</t>
        </is>
      </c>
      <c r="B487" s="2" t="n">
        <v>46314</v>
      </c>
      <c r="C487" s="1" t="n">
        <v>0</v>
      </c>
      <c r="D487" s="1" t="n">
        <v>0</v>
      </c>
    </row>
    <row r="488" ht="13" customHeight="1">
      <c r="A488" s="1" t="inlineStr">
        <is>
          <t>LCH27</t>
        </is>
      </c>
      <c r="B488" s="2" t="n">
        <v>46316</v>
      </c>
      <c r="C488" s="1" t="n">
        <v>0</v>
      </c>
      <c r="D488" s="1" t="n">
        <v>1</v>
      </c>
    </row>
    <row r="489" ht="13" customHeight="1">
      <c r="A489" s="1" t="inlineStr">
        <is>
          <t>BKK27</t>
        </is>
      </c>
      <c r="B489" s="2" t="n">
        <v>46315</v>
      </c>
      <c r="C489" s="1" t="n">
        <v>0</v>
      </c>
      <c r="D489" s="1" t="n">
        <v>1</v>
      </c>
    </row>
    <row r="490" ht="13" customHeight="1">
      <c r="A490" s="1" t="inlineStr">
        <is>
          <t>LCH27</t>
        </is>
      </c>
      <c r="B490" s="2" t="n">
        <v>46314</v>
      </c>
      <c r="C490" s="1" t="n">
        <v>0</v>
      </c>
      <c r="D490" s="1" t="n">
        <v>1</v>
      </c>
    </row>
    <row r="491" ht="13" customHeight="1">
      <c r="A491" s="1" t="inlineStr">
        <is>
          <t>LCH27</t>
        </is>
      </c>
      <c r="B491" s="2" t="n">
        <v>46314</v>
      </c>
      <c r="C491" s="1" t="n">
        <v>0</v>
      </c>
      <c r="D491" s="1" t="n">
        <v>1</v>
      </c>
    </row>
    <row r="492" ht="13" customHeight="1">
      <c r="A492" s="1" t="inlineStr">
        <is>
          <t>BKK27</t>
        </is>
      </c>
      <c r="B492" s="2" t="n">
        <v>46315</v>
      </c>
      <c r="C492" s="1" t="n">
        <v>0</v>
      </c>
      <c r="D492" s="1" t="n">
        <v>1</v>
      </c>
    </row>
    <row r="493" ht="13" customHeight="1">
      <c r="A493" s="1" t="inlineStr">
        <is>
          <t>LCH27</t>
        </is>
      </c>
      <c r="B493" s="2" t="n">
        <v>46316</v>
      </c>
      <c r="C493" s="1" t="n">
        <v>0</v>
      </c>
      <c r="D493" s="1" t="n">
        <v>1</v>
      </c>
    </row>
    <row r="494" ht="13" customHeight="1">
      <c r="A494" s="1" t="inlineStr">
        <is>
          <t>BKK27</t>
        </is>
      </c>
      <c r="B494" s="2" t="n">
        <v>46319</v>
      </c>
      <c r="C494" s="1" t="n">
        <v>0</v>
      </c>
      <c r="D494" s="1" t="n">
        <v>1</v>
      </c>
    </row>
    <row r="495" ht="13" customHeight="1">
      <c r="A495" s="1" t="inlineStr">
        <is>
          <t>LCH27</t>
        </is>
      </c>
      <c r="B495" s="2" t="n">
        <v>46315</v>
      </c>
      <c r="C495" s="1" t="n">
        <v>0</v>
      </c>
      <c r="D495" s="1" t="n">
        <v>1</v>
      </c>
    </row>
    <row r="496" ht="13" customHeight="1">
      <c r="A496" s="1" t="inlineStr">
        <is>
          <t>LCH27</t>
        </is>
      </c>
      <c r="B496" s="2" t="n">
        <v>46315</v>
      </c>
      <c r="C496" s="1" t="n">
        <v>0</v>
      </c>
      <c r="D496" s="1" t="n">
        <v>1</v>
      </c>
    </row>
    <row r="497" ht="13" customHeight="1">
      <c r="A497" s="1" t="inlineStr">
        <is>
          <t>BKK27</t>
        </is>
      </c>
      <c r="B497" s="2" t="n">
        <v>46319</v>
      </c>
      <c r="C497" s="1" t="n">
        <v>0</v>
      </c>
      <c r="D497" s="1" t="n">
        <v>1</v>
      </c>
    </row>
    <row r="498" ht="13" customHeight="1">
      <c r="A498" s="1" t="inlineStr">
        <is>
          <t>BKK27</t>
        </is>
      </c>
      <c r="B498" s="2" t="n">
        <v>46319</v>
      </c>
      <c r="C498" s="1" t="n">
        <v>0</v>
      </c>
      <c r="D498" s="1" t="n">
        <v>1</v>
      </c>
    </row>
    <row r="499" ht="13" customHeight="1">
      <c r="A499" s="1" t="inlineStr">
        <is>
          <t>BKK27</t>
        </is>
      </c>
      <c r="B499" s="2" t="n">
        <v>46323</v>
      </c>
      <c r="C499" s="1" t="n">
        <v>0</v>
      </c>
      <c r="D499" s="1" t="n">
        <v>1</v>
      </c>
    </row>
    <row r="500" ht="13" customHeight="1">
      <c r="A500" s="1" t="inlineStr">
        <is>
          <t>BKK27</t>
        </is>
      </c>
      <c r="B500" s="2" t="n">
        <v>46322</v>
      </c>
      <c r="C500" s="1" t="n">
        <v>0</v>
      </c>
      <c r="D500" s="1" t="n">
        <v>1</v>
      </c>
    </row>
    <row r="501" ht="13" customHeight="1">
      <c r="A501" s="1" t="inlineStr">
        <is>
          <t>BKK27</t>
        </is>
      </c>
      <c r="B501" s="2" t="n">
        <v>46319</v>
      </c>
      <c r="C501" s="1" t="n">
        <v>0</v>
      </c>
      <c r="D501" s="1" t="n">
        <v>1</v>
      </c>
    </row>
    <row r="502" ht="13" customHeight="1">
      <c r="A502" s="1" t="inlineStr">
        <is>
          <t>LCH27</t>
        </is>
      </c>
      <c r="B502" s="2" t="n">
        <v>46317</v>
      </c>
      <c r="C502" s="1" t="n">
        <v>0</v>
      </c>
      <c r="D502" s="1" t="n">
        <v>1</v>
      </c>
    </row>
    <row r="503" ht="13" customHeight="1">
      <c r="A503" s="1" t="inlineStr">
        <is>
          <t>BKK27</t>
        </is>
      </c>
      <c r="B503" s="2" t="n">
        <v>46315</v>
      </c>
      <c r="C503" s="1" t="n">
        <v>0</v>
      </c>
      <c r="D503" s="1" t="n">
        <v>1</v>
      </c>
    </row>
    <row r="504" ht="13" customHeight="1">
      <c r="A504" s="1" t="inlineStr">
        <is>
          <t>LCH27</t>
        </is>
      </c>
      <c r="B504" s="2" t="n">
        <v>46325</v>
      </c>
      <c r="C504" s="1" t="n">
        <v>0</v>
      </c>
      <c r="D504" s="1" t="n">
        <v>1</v>
      </c>
    </row>
    <row r="505" ht="13" customHeight="1">
      <c r="A505" s="1" t="inlineStr">
        <is>
          <t>LCH27</t>
        </is>
      </c>
      <c r="B505" s="2" t="n">
        <v>46316</v>
      </c>
      <c r="C505" s="1" t="n">
        <v>0</v>
      </c>
      <c r="D505" s="1" t="n">
        <v>1</v>
      </c>
    </row>
    <row r="506" ht="13" customHeight="1">
      <c r="A506" s="1" t="inlineStr">
        <is>
          <t>BKK27</t>
        </is>
      </c>
      <c r="B506" s="2" t="n">
        <v>46319</v>
      </c>
      <c r="C506" s="1" t="n">
        <v>0</v>
      </c>
      <c r="D506" s="1" t="n">
        <v>1</v>
      </c>
    </row>
    <row r="507" ht="13" customHeight="1">
      <c r="A507" s="1" t="inlineStr">
        <is>
          <t>BKK27</t>
        </is>
      </c>
      <c r="B507" s="2" t="n">
        <v>46316</v>
      </c>
      <c r="C507" s="1" t="n">
        <v>0</v>
      </c>
      <c r="D507" s="1" t="n">
        <v>1</v>
      </c>
    </row>
    <row r="508" ht="13" customHeight="1">
      <c r="A508" s="1" t="inlineStr">
        <is>
          <t>BKK27</t>
        </is>
      </c>
      <c r="B508" s="2" t="n">
        <v>46314</v>
      </c>
      <c r="C508" s="1" t="n">
        <v>0</v>
      </c>
      <c r="D508" s="1" t="n">
        <v>1</v>
      </c>
    </row>
    <row r="509" ht="13" customHeight="1">
      <c r="A509" s="1" t="inlineStr">
        <is>
          <t>BKK27</t>
        </is>
      </c>
      <c r="B509" s="2" t="n">
        <v>46319</v>
      </c>
      <c r="C509" s="1" t="n">
        <v>0</v>
      </c>
      <c r="D509" s="1" t="n">
        <v>1</v>
      </c>
    </row>
    <row r="510" ht="13" customHeight="1">
      <c r="A510" s="1" t="inlineStr">
        <is>
          <t>BKK27</t>
        </is>
      </c>
      <c r="B510" s="2" t="n">
        <v>46322</v>
      </c>
      <c r="C510" s="1" t="n">
        <v>0</v>
      </c>
      <c r="D510" s="1" t="n">
        <v>1</v>
      </c>
    </row>
    <row r="511" ht="13" customHeight="1">
      <c r="A511" s="1" t="inlineStr">
        <is>
          <t>BKK27</t>
        </is>
      </c>
      <c r="B511" s="2" t="n">
        <v>46325</v>
      </c>
      <c r="C511" s="1" t="n">
        <v>0</v>
      </c>
      <c r="D511" s="1" t="n">
        <v>1</v>
      </c>
    </row>
    <row r="512" ht="13" customHeight="1">
      <c r="A512" s="1" t="inlineStr">
        <is>
          <t>BKK27</t>
        </is>
      </c>
      <c r="B512" s="2" t="n">
        <v>46321</v>
      </c>
      <c r="C512" s="1" t="n">
        <v>0</v>
      </c>
      <c r="D512" s="1" t="n">
        <v>1</v>
      </c>
    </row>
    <row r="513" ht="13" customHeight="1">
      <c r="A513" s="1" t="inlineStr">
        <is>
          <t>LCH27</t>
        </is>
      </c>
      <c r="B513" s="2" t="n">
        <v>46314</v>
      </c>
      <c r="C513" s="1" t="n">
        <v>0</v>
      </c>
      <c r="D513" s="1" t="n">
        <v>1</v>
      </c>
    </row>
    <row r="514" ht="13" customHeight="1">
      <c r="A514" s="1" t="inlineStr">
        <is>
          <t>LCH27</t>
        </is>
      </c>
      <c r="B514" s="2" t="n">
        <v>46318</v>
      </c>
      <c r="C514" s="1" t="n">
        <v>0</v>
      </c>
      <c r="D514" s="1" t="n">
        <v>1</v>
      </c>
    </row>
    <row r="515" ht="13" customHeight="1">
      <c r="A515" s="1" t="inlineStr">
        <is>
          <t>LCH27</t>
        </is>
      </c>
      <c r="B515" s="2" t="n">
        <v>46329</v>
      </c>
      <c r="C515" s="1" t="n">
        <v>0</v>
      </c>
      <c r="D515" s="1" t="n">
        <v>1</v>
      </c>
    </row>
    <row r="516" ht="13" customHeight="1">
      <c r="A516" s="1" t="inlineStr">
        <is>
          <t>BKK27</t>
        </is>
      </c>
      <c r="B516" s="2" t="n">
        <v>46325</v>
      </c>
      <c r="C516" s="1" t="n">
        <v>0</v>
      </c>
      <c r="D516" s="1" t="n">
        <v>1</v>
      </c>
    </row>
    <row r="517" ht="13" customHeight="1">
      <c r="A517" s="1" t="inlineStr">
        <is>
          <t>BKK27</t>
        </is>
      </c>
      <c r="B517" s="2" t="n">
        <v>46319</v>
      </c>
      <c r="C517" s="1" t="n">
        <v>0</v>
      </c>
      <c r="D517" s="1" t="n">
        <v>1</v>
      </c>
    </row>
    <row r="518" ht="13" customHeight="1">
      <c r="A518" s="1" t="inlineStr">
        <is>
          <t>BKK27</t>
        </is>
      </c>
      <c r="B518" s="2" t="n">
        <v>46316</v>
      </c>
      <c r="C518" s="1" t="n">
        <v>0</v>
      </c>
      <c r="D518" s="1" t="n">
        <v>1</v>
      </c>
    </row>
    <row r="519" ht="13" customHeight="1">
      <c r="A519" s="1" t="inlineStr">
        <is>
          <t>BKK27</t>
        </is>
      </c>
      <c r="B519" s="2" t="n">
        <v>46325</v>
      </c>
      <c r="C519" s="1" t="n">
        <v>0</v>
      </c>
      <c r="D519" s="1" t="n">
        <v>1</v>
      </c>
    </row>
    <row r="520" ht="13" customHeight="1">
      <c r="A520" s="1" t="inlineStr">
        <is>
          <t>BKK27</t>
        </is>
      </c>
      <c r="B520" s="2" t="n">
        <v>46319</v>
      </c>
      <c r="C520" s="1" t="n">
        <v>0</v>
      </c>
      <c r="D520" s="1" t="n">
        <v>1</v>
      </c>
    </row>
    <row r="521" ht="13" customHeight="1">
      <c r="A521" s="1" t="inlineStr">
        <is>
          <t>BKK27</t>
        </is>
      </c>
      <c r="B521" s="2" t="n">
        <v>46333</v>
      </c>
      <c r="C521" s="1" t="n">
        <v>0</v>
      </c>
      <c r="D521" s="1" t="n">
        <v>1</v>
      </c>
    </row>
    <row r="522" ht="13" customHeight="1">
      <c r="A522" s="1" t="inlineStr">
        <is>
          <t>LCH27</t>
        </is>
      </c>
      <c r="B522" s="2" t="n">
        <v>46314</v>
      </c>
      <c r="C522" s="1" t="n">
        <v>0</v>
      </c>
      <c r="D522" s="1" t="n">
        <v>1</v>
      </c>
    </row>
    <row r="523" ht="13" customHeight="1">
      <c r="A523" s="1" t="inlineStr">
        <is>
          <t>LCH27</t>
        </is>
      </c>
      <c r="B523" s="2" t="n">
        <v>46316</v>
      </c>
      <c r="C523" s="1" t="n">
        <v>0</v>
      </c>
      <c r="D523" s="1" t="n">
        <v>1</v>
      </c>
    </row>
    <row r="524" ht="13" customHeight="1">
      <c r="A524" s="1" t="inlineStr">
        <is>
          <t>BKK27</t>
        </is>
      </c>
      <c r="B524" s="2" t="n">
        <v>46319</v>
      </c>
      <c r="C524" s="1" t="n">
        <v>0</v>
      </c>
      <c r="D524" s="1" t="n">
        <v>1</v>
      </c>
    </row>
    <row r="525" ht="13" customHeight="1">
      <c r="A525" s="1" t="inlineStr">
        <is>
          <t>BKK27</t>
        </is>
      </c>
      <c r="B525" s="2" t="n">
        <v>46316</v>
      </c>
      <c r="C525" s="1" t="n">
        <v>0</v>
      </c>
      <c r="D525" s="1" t="n">
        <v>1</v>
      </c>
    </row>
    <row r="526" ht="13" customHeight="1">
      <c r="A526" s="1" t="inlineStr">
        <is>
          <t>LCH27</t>
        </is>
      </c>
      <c r="B526" s="2" t="n">
        <v>46314</v>
      </c>
      <c r="C526" s="1" t="n">
        <v>0</v>
      </c>
      <c r="D526" s="1" t="n">
        <v>1</v>
      </c>
    </row>
    <row r="527" ht="13" customHeight="1">
      <c r="A527" s="1" t="inlineStr">
        <is>
          <t>BKK27</t>
        </is>
      </c>
      <c r="B527" s="2" t="n">
        <v>46319</v>
      </c>
      <c r="C527" s="1" t="n">
        <v>0</v>
      </c>
      <c r="D527" s="1" t="n">
        <v>1</v>
      </c>
    </row>
    <row r="528" ht="13" customHeight="1">
      <c r="A528" s="1" t="inlineStr">
        <is>
          <t>BKK27</t>
        </is>
      </c>
      <c r="B528" s="2" t="n">
        <v>46315</v>
      </c>
      <c r="C528" s="1" t="n">
        <v>0</v>
      </c>
      <c r="D528" s="1" t="n">
        <v>1</v>
      </c>
    </row>
    <row r="529" ht="13" customHeight="1">
      <c r="A529" s="1" t="inlineStr">
        <is>
          <t>BKK27</t>
        </is>
      </c>
      <c r="B529" s="2" t="n">
        <v>46315</v>
      </c>
      <c r="C529" s="1" t="n">
        <v>0</v>
      </c>
      <c r="D529" s="1" t="n">
        <v>1</v>
      </c>
    </row>
    <row r="530" ht="13" customHeight="1">
      <c r="A530" s="1" t="inlineStr">
        <is>
          <t>BKK27</t>
        </is>
      </c>
      <c r="B530" s="2" t="n">
        <v>46317</v>
      </c>
      <c r="C530" s="1" t="n">
        <v>0</v>
      </c>
      <c r="D530" s="1" t="n">
        <v>1</v>
      </c>
    </row>
    <row r="531" ht="13" customHeight="1">
      <c r="A531" s="1" t="inlineStr">
        <is>
          <t>BKK27</t>
        </is>
      </c>
      <c r="B531" s="2" t="n">
        <v>46315</v>
      </c>
      <c r="C531" s="1" t="n">
        <v>0</v>
      </c>
      <c r="D531" s="1" t="n">
        <v>1</v>
      </c>
    </row>
    <row r="532" ht="13" customHeight="1">
      <c r="A532" s="1" t="inlineStr">
        <is>
          <t>BKK27</t>
        </is>
      </c>
      <c r="B532" s="2" t="n">
        <v>46316</v>
      </c>
      <c r="C532" s="1" t="n">
        <v>0</v>
      </c>
      <c r="D532" s="1" t="n">
        <v>1</v>
      </c>
    </row>
    <row r="533" ht="13" customHeight="1">
      <c r="A533" s="1" t="inlineStr">
        <is>
          <t>LCH27</t>
        </is>
      </c>
      <c r="B533" s="2" t="n">
        <v>46317</v>
      </c>
      <c r="C533" s="1" t="n">
        <v>0</v>
      </c>
      <c r="D533" s="1" t="n">
        <v>1</v>
      </c>
    </row>
    <row r="534" ht="13" customHeight="1">
      <c r="A534" s="1" t="inlineStr">
        <is>
          <t>LCH27</t>
        </is>
      </c>
      <c r="B534" s="2" t="n">
        <v>46317</v>
      </c>
      <c r="C534" s="1" t="n">
        <v>0</v>
      </c>
      <c r="D534" s="1" t="n">
        <v>1</v>
      </c>
    </row>
    <row r="535" ht="13" customHeight="1">
      <c r="A535" s="1" t="inlineStr">
        <is>
          <t>BKK27</t>
        </is>
      </c>
      <c r="B535" s="2" t="n">
        <v>46317</v>
      </c>
      <c r="C535" s="1" t="n">
        <v>0</v>
      </c>
      <c r="D535" s="1" t="n">
        <v>1</v>
      </c>
    </row>
    <row r="536" ht="13" customHeight="1">
      <c r="A536" s="1" t="inlineStr">
        <is>
          <t>LCH27</t>
        </is>
      </c>
      <c r="B536" s="2" t="n">
        <v>46314</v>
      </c>
      <c r="C536" s="1" t="n">
        <v>0</v>
      </c>
      <c r="D536" s="1" t="n">
        <v>1</v>
      </c>
    </row>
    <row r="537" ht="13" customHeight="1">
      <c r="A537" s="1" t="inlineStr">
        <is>
          <t>LCH27</t>
        </is>
      </c>
      <c r="B537" s="2" t="n">
        <v>46314</v>
      </c>
      <c r="C537" s="1" t="n">
        <v>0</v>
      </c>
      <c r="D537" s="1" t="n">
        <v>1</v>
      </c>
    </row>
    <row r="538" ht="13" customHeight="1">
      <c r="A538" s="1" t="inlineStr">
        <is>
          <t>BKK27</t>
        </is>
      </c>
      <c r="B538" s="2" t="n">
        <v>46324</v>
      </c>
      <c r="C538" s="1" t="n">
        <v>0</v>
      </c>
      <c r="D538" s="1" t="n">
        <v>1</v>
      </c>
    </row>
    <row r="539" ht="13" customHeight="1">
      <c r="A539" s="1" t="inlineStr">
        <is>
          <t>BKK27</t>
        </is>
      </c>
      <c r="B539" s="2" t="n">
        <v>46316</v>
      </c>
      <c r="C539" s="1" t="n">
        <v>0</v>
      </c>
      <c r="D539" s="1" t="n">
        <v>1</v>
      </c>
    </row>
    <row r="540" ht="13" customHeight="1">
      <c r="A540" s="1" t="inlineStr">
        <is>
          <t>BKK27</t>
        </is>
      </c>
      <c r="B540" s="2" t="n">
        <v>46314</v>
      </c>
      <c r="C540" s="1" t="n">
        <v>0</v>
      </c>
      <c r="D540" s="1" t="n">
        <v>1</v>
      </c>
    </row>
    <row r="541" ht="13" customHeight="1">
      <c r="A541" s="1" t="inlineStr">
        <is>
          <t>LCH27</t>
        </is>
      </c>
      <c r="B541" s="2" t="n">
        <v>46318</v>
      </c>
      <c r="C541" s="1" t="n">
        <v>0</v>
      </c>
      <c r="D541" s="1" t="n">
        <v>1</v>
      </c>
    </row>
    <row r="542" ht="13" customHeight="1">
      <c r="A542" s="1" t="inlineStr">
        <is>
          <t>LCH27</t>
        </is>
      </c>
      <c r="B542" s="2" t="n">
        <v>46315</v>
      </c>
      <c r="C542" s="1" t="n">
        <v>0</v>
      </c>
      <c r="D542" s="1" t="n">
        <v>1</v>
      </c>
    </row>
    <row r="543" ht="13" customHeight="1">
      <c r="A543" s="1" t="inlineStr">
        <is>
          <t>BKK27</t>
        </is>
      </c>
      <c r="B543" s="2" t="n">
        <v>46314</v>
      </c>
      <c r="C543" s="1" t="n">
        <v>0</v>
      </c>
      <c r="D543" s="1" t="n">
        <v>1</v>
      </c>
    </row>
    <row r="544" ht="13" customHeight="1">
      <c r="A544" s="1" t="inlineStr">
        <is>
          <t>BKK27</t>
        </is>
      </c>
      <c r="B544" s="2" t="n">
        <v>46326</v>
      </c>
      <c r="C544" s="1" t="n">
        <v>0</v>
      </c>
      <c r="D544" s="1" t="n">
        <v>10</v>
      </c>
    </row>
    <row r="545" ht="13" customHeight="1">
      <c r="A545" s="1" t="inlineStr">
        <is>
          <t>BKK27</t>
        </is>
      </c>
      <c r="B545" s="2" t="n">
        <v>46317</v>
      </c>
      <c r="C545" s="1" t="n">
        <v>0</v>
      </c>
      <c r="D545" s="1" t="n">
        <v>2</v>
      </c>
    </row>
    <row r="546" ht="13" customHeight="1">
      <c r="A546" s="1" t="inlineStr">
        <is>
          <t>BKK27</t>
        </is>
      </c>
      <c r="B546" s="2" t="n">
        <v>46315</v>
      </c>
      <c r="C546" s="1" t="n">
        <v>0</v>
      </c>
      <c r="D546" s="1" t="n">
        <v>2</v>
      </c>
    </row>
    <row r="547" ht="13" customHeight="1">
      <c r="A547" s="1" t="inlineStr">
        <is>
          <t>LCH27</t>
        </is>
      </c>
      <c r="B547" s="2" t="n">
        <v>46317</v>
      </c>
      <c r="C547" s="1" t="n">
        <v>0</v>
      </c>
      <c r="D547" s="1" t="n">
        <v>2</v>
      </c>
    </row>
    <row r="548" ht="13" customHeight="1">
      <c r="A548" s="1" t="inlineStr">
        <is>
          <t>LCH27</t>
        </is>
      </c>
      <c r="B548" s="2" t="n">
        <v>46321</v>
      </c>
      <c r="C548" s="1" t="n">
        <v>0</v>
      </c>
      <c r="D548" s="1" t="n">
        <v>4</v>
      </c>
    </row>
    <row r="549" ht="13" customHeight="1">
      <c r="A549" s="1" t="inlineStr">
        <is>
          <t>BKK27</t>
        </is>
      </c>
      <c r="B549" s="2" t="n">
        <v>46319</v>
      </c>
      <c r="C549" s="1" t="n">
        <v>0</v>
      </c>
      <c r="D549" s="1" t="n">
        <v>4</v>
      </c>
    </row>
    <row r="550" ht="13" customHeight="1">
      <c r="A550" s="1" t="inlineStr">
        <is>
          <t>BKK27</t>
        </is>
      </c>
      <c r="B550" s="2" t="n">
        <v>46324</v>
      </c>
      <c r="C550" s="1" t="n">
        <v>0</v>
      </c>
      <c r="D550" s="1" t="n">
        <v>5</v>
      </c>
    </row>
    <row r="551" ht="13" customHeight="1">
      <c r="A551" s="1" t="inlineStr">
        <is>
          <t>BKK27</t>
        </is>
      </c>
      <c r="B551" s="2" t="n">
        <v>46319</v>
      </c>
      <c r="C551" s="1" t="n">
        <v>0</v>
      </c>
      <c r="D551" s="1" t="n">
        <v>6</v>
      </c>
    </row>
    <row r="552" ht="13" customHeight="1">
      <c r="A552" s="1" t="inlineStr">
        <is>
          <t>LCH27</t>
        </is>
      </c>
      <c r="B552" s="2" t="n">
        <v>46312</v>
      </c>
      <c r="C552" s="1" t="n">
        <v>1</v>
      </c>
      <c r="D552" s="1" t="n">
        <v>0</v>
      </c>
    </row>
    <row r="553" ht="13" customHeight="1">
      <c r="A553" s="1" t="inlineStr">
        <is>
          <t>LCH27</t>
        </is>
      </c>
      <c r="B553" s="2" t="n">
        <v>46312</v>
      </c>
      <c r="C553" s="1" t="n">
        <v>0</v>
      </c>
      <c r="D553" s="1" t="n">
        <v>1</v>
      </c>
    </row>
    <row r="554" ht="13" customHeight="1">
      <c r="A554" s="1" t="inlineStr">
        <is>
          <t>LCH27</t>
        </is>
      </c>
      <c r="B554" s="2" t="n">
        <v>46312</v>
      </c>
      <c r="C554" s="1" t="n">
        <v>0</v>
      </c>
      <c r="D554" s="1" t="n">
        <v>1</v>
      </c>
    </row>
    <row r="555" ht="13" customHeight="1">
      <c r="A555" s="1" t="inlineStr">
        <is>
          <t>LCH27</t>
        </is>
      </c>
      <c r="B555" s="2" t="n">
        <v>46309</v>
      </c>
      <c r="C555" s="1" t="n">
        <v>0</v>
      </c>
      <c r="D555" s="1" t="n">
        <v>1</v>
      </c>
    </row>
    <row r="556" ht="13" customHeight="1">
      <c r="A556" s="1" t="inlineStr">
        <is>
          <t>LCH27</t>
        </is>
      </c>
      <c r="B556" s="2" t="n">
        <v>46307</v>
      </c>
      <c r="C556" s="1" t="n">
        <v>0</v>
      </c>
      <c r="D556" s="1" t="n">
        <v>1</v>
      </c>
    </row>
    <row r="557" ht="13" customHeight="1">
      <c r="A557" s="1" t="inlineStr">
        <is>
          <t>LCH27</t>
        </is>
      </c>
      <c r="B557" s="2" t="n">
        <v>46307</v>
      </c>
      <c r="C557" s="1" t="n">
        <v>0</v>
      </c>
      <c r="D557" s="1" t="n">
        <v>1</v>
      </c>
    </row>
    <row r="558" ht="13" customHeight="1">
      <c r="A558" s="1" t="inlineStr">
        <is>
          <t>LCH27</t>
        </is>
      </c>
      <c r="B558" s="2" t="n">
        <v>46307</v>
      </c>
      <c r="C558" s="1" t="n">
        <v>0</v>
      </c>
      <c r="D558" s="1" t="n">
        <v>1</v>
      </c>
    </row>
    <row r="559" ht="13" customHeight="1">
      <c r="A559" s="1" t="inlineStr">
        <is>
          <t>LCH27</t>
        </is>
      </c>
      <c r="B559" s="2" t="n">
        <v>46311</v>
      </c>
      <c r="C559" s="1" t="n">
        <v>0</v>
      </c>
      <c r="D559" s="1" t="n">
        <v>1</v>
      </c>
    </row>
    <row r="560" ht="13" customHeight="1">
      <c r="A560" s="1" t="inlineStr">
        <is>
          <t>LCH27</t>
        </is>
      </c>
      <c r="B560" s="2" t="n">
        <v>46310</v>
      </c>
      <c r="C560" s="1" t="n">
        <v>0</v>
      </c>
      <c r="D560" s="1" t="n">
        <v>1</v>
      </c>
    </row>
    <row r="561" ht="13" customHeight="1">
      <c r="A561" s="1" t="inlineStr">
        <is>
          <t>LCH27</t>
        </is>
      </c>
      <c r="B561" s="2" t="n">
        <v>46311</v>
      </c>
      <c r="C561" s="1" t="n">
        <v>0</v>
      </c>
      <c r="D561" s="1" t="n">
        <v>1</v>
      </c>
    </row>
    <row r="562" ht="13" customHeight="1">
      <c r="A562" s="1" t="inlineStr">
        <is>
          <t>LCH27</t>
        </is>
      </c>
      <c r="B562" s="2" t="n">
        <v>46311</v>
      </c>
      <c r="C562" s="1" t="n">
        <v>0</v>
      </c>
      <c r="D562" s="1" t="n">
        <v>1</v>
      </c>
    </row>
    <row r="563" ht="13" customHeight="1">
      <c r="A563" s="1" t="inlineStr">
        <is>
          <t>LCH27</t>
        </is>
      </c>
      <c r="B563" s="2" t="n">
        <v>46311</v>
      </c>
      <c r="C563" s="1" t="n">
        <v>0</v>
      </c>
      <c r="D563" s="1" t="n">
        <v>1</v>
      </c>
    </row>
    <row r="564" ht="13" customHeight="1">
      <c r="A564" s="1" t="inlineStr">
        <is>
          <t>LCH27</t>
        </is>
      </c>
      <c r="B564" s="2" t="n">
        <v>46312</v>
      </c>
      <c r="C564" s="1" t="n">
        <v>0</v>
      </c>
      <c r="D564" s="1" t="n">
        <v>1</v>
      </c>
    </row>
    <row r="565" ht="13" customHeight="1">
      <c r="A565" s="1" t="inlineStr">
        <is>
          <t>BKK27</t>
        </is>
      </c>
      <c r="B565" s="2" t="n">
        <v>46311</v>
      </c>
      <c r="C565" s="1" t="n">
        <v>0</v>
      </c>
      <c r="D565" s="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OER</t>
        </is>
      </c>
    </row>
    <row r="3" ht="13" customHeight="1">
      <c r="A3" s="1" t="inlineStr">
        <is>
          <t>LCH27</t>
        </is>
      </c>
      <c r="B3" s="1" t="inlineStr">
        <is>
          <t>45RE</t>
        </is>
      </c>
      <c r="C3" s="1" t="inlineStr">
        <is>
          <t>OER</t>
        </is>
      </c>
    </row>
    <row r="4" ht="13" customHeight="1">
      <c r="A4" s="1" t="inlineStr">
        <is>
          <t>LCH27</t>
        </is>
      </c>
      <c r="B4" s="1" t="inlineStr">
        <is>
          <t>45RE</t>
        </is>
      </c>
      <c r="C4" s="1" t="inlineStr">
        <is>
          <t>OER</t>
        </is>
      </c>
    </row>
    <row r="5" ht="13" customHeight="1">
      <c r="A5" s="1" t="inlineStr">
        <is>
          <t>LCH27</t>
        </is>
      </c>
      <c r="B5" s="1" t="inlineStr">
        <is>
          <t>45RE</t>
        </is>
      </c>
      <c r="C5" s="1" t="inlineStr">
        <is>
          <t>OER</t>
        </is>
      </c>
    </row>
    <row r="6" ht="13" customHeight="1">
      <c r="A6" s="1" t="inlineStr">
        <is>
          <t>LCH27</t>
        </is>
      </c>
      <c r="B6" s="1" t="inlineStr">
        <is>
          <t>22RE</t>
        </is>
      </c>
      <c r="C6" s="1" t="inlineStr">
        <is>
          <t>OER</t>
        </is>
      </c>
    </row>
    <row r="7" ht="13" customHeight="1">
      <c r="A7" s="1" t="inlineStr">
        <is>
          <t>BKK27</t>
        </is>
      </c>
      <c r="B7" s="1" t="inlineStr">
        <is>
          <t>45RE</t>
        </is>
      </c>
      <c r="C7" s="1" t="inlineStr">
        <is>
          <t>OER</t>
        </is>
      </c>
    </row>
    <row r="8" ht="13" customHeight="1">
      <c r="A8" s="1" t="inlineStr">
        <is>
          <t>BKK27</t>
        </is>
      </c>
      <c r="B8" s="1" t="inlineStr">
        <is>
          <t>22RE</t>
        </is>
      </c>
      <c r="C8" s="1" t="inlineStr">
        <is>
          <t>OER</t>
        </is>
      </c>
    </row>
    <row r="9" ht="13" customHeight="1">
      <c r="A9" s="1" t="inlineStr">
        <is>
          <t>BKK27</t>
        </is>
      </c>
      <c r="B9" s="1" t="inlineStr">
        <is>
          <t>22RE</t>
        </is>
      </c>
      <c r="C9" s="1" t="inlineStr">
        <is>
          <t>OER</t>
        </is>
      </c>
    </row>
    <row r="10" ht="13" customHeight="1">
      <c r="A10" s="1" t="inlineStr">
        <is>
          <t>BKK27</t>
        </is>
      </c>
      <c r="B10" s="1" t="inlineStr">
        <is>
          <t>22RE</t>
        </is>
      </c>
      <c r="C10" s="1" t="inlineStr">
        <is>
          <t>OER</t>
        </is>
      </c>
    </row>
    <row r="11" ht="13" customHeight="1">
      <c r="A11" s="1" t="inlineStr">
        <is>
          <t>BKK27</t>
        </is>
      </c>
      <c r="B11" s="1" t="inlineStr">
        <is>
          <t>45RE</t>
        </is>
      </c>
      <c r="C11" s="1" t="inlineStr">
        <is>
          <t>OER</t>
        </is>
      </c>
    </row>
    <row r="12" ht="13" customHeight="1">
      <c r="A12" s="1" t="inlineStr">
        <is>
          <t>BKK27</t>
        </is>
      </c>
      <c r="B12" s="1" t="inlineStr">
        <is>
          <t>22RE</t>
        </is>
      </c>
      <c r="C12" s="1" t="inlineStr">
        <is>
          <t>OER</t>
        </is>
      </c>
    </row>
    <row r="13" ht="13" customHeight="1">
      <c r="A13" s="1" t="inlineStr">
        <is>
          <t>LCH27</t>
        </is>
      </c>
      <c r="B13" s="1" t="inlineStr">
        <is>
          <t>45RE</t>
        </is>
      </c>
      <c r="C13" s="1" t="inlineStr">
        <is>
          <t>OER</t>
        </is>
      </c>
    </row>
    <row r="14" ht="13" customHeight="1">
      <c r="A14" s="1" t="inlineStr">
        <is>
          <t>LCH27</t>
        </is>
      </c>
      <c r="B14" s="1" t="inlineStr">
        <is>
          <t>45RE</t>
        </is>
      </c>
      <c r="C14" s="1" t="inlineStr">
        <is>
          <t>OER</t>
        </is>
      </c>
    </row>
    <row r="15" ht="13" customHeight="1">
      <c r="A15" s="1" t="inlineStr">
        <is>
          <t>LCH27</t>
        </is>
      </c>
      <c r="B15" s="1" t="inlineStr">
        <is>
          <t>45RE</t>
        </is>
      </c>
      <c r="C15" s="1" t="inlineStr">
        <is>
          <t>OER</t>
        </is>
      </c>
    </row>
    <row r="16" ht="13" customHeight="1">
      <c r="A16" s="1" t="inlineStr">
        <is>
          <t>LCH27</t>
        </is>
      </c>
      <c r="B16" s="1" t="inlineStr">
        <is>
          <t>45RE</t>
        </is>
      </c>
      <c r="C16" s="1" t="inlineStr">
        <is>
          <t>OER</t>
        </is>
      </c>
    </row>
    <row r="17" ht="13" customHeight="1">
      <c r="A17" s="1" t="inlineStr">
        <is>
          <t>LCH27</t>
        </is>
      </c>
      <c r="B17" s="1" t="inlineStr">
        <is>
          <t>22RE</t>
        </is>
      </c>
      <c r="C17" s="1" t="inlineStr">
        <is>
          <t>OER</t>
        </is>
      </c>
    </row>
    <row r="18" ht="13" customHeight="1">
      <c r="A18" s="1" t="inlineStr">
        <is>
          <t>LCH27</t>
        </is>
      </c>
      <c r="B18" s="1" t="inlineStr">
        <is>
          <t>45RE</t>
        </is>
      </c>
      <c r="C18" s="1" t="inlineStr">
        <is>
          <t>OER</t>
        </is>
      </c>
    </row>
    <row r="19" ht="13" customHeight="1">
      <c r="A19" s="1" t="inlineStr">
        <is>
          <t>LCH27</t>
        </is>
      </c>
      <c r="B19" s="1" t="inlineStr">
        <is>
          <t>22RE</t>
        </is>
      </c>
      <c r="C19" s="1" t="inlineStr">
        <is>
          <t>OER</t>
        </is>
      </c>
    </row>
    <row r="20" ht="13" customHeight="1">
      <c r="A20" s="1" t="inlineStr">
        <is>
          <t>LCH27</t>
        </is>
      </c>
      <c r="B20" s="1" t="inlineStr">
        <is>
          <t>45RE</t>
        </is>
      </c>
      <c r="C20" s="1" t="inlineStr">
        <is>
          <t>OER</t>
        </is>
      </c>
    </row>
    <row r="21" ht="13" customHeight="1">
      <c r="A21" s="1" t="inlineStr">
        <is>
          <t>LCH27</t>
        </is>
      </c>
      <c r="B21" s="1" t="inlineStr">
        <is>
          <t>45RE</t>
        </is>
      </c>
      <c r="C21" s="1" t="inlineStr">
        <is>
          <t>OER</t>
        </is>
      </c>
    </row>
    <row r="22" ht="13" customHeight="1">
      <c r="A22" s="1" t="inlineStr">
        <is>
          <t>LCH27</t>
        </is>
      </c>
      <c r="B22" s="1" t="inlineStr">
        <is>
          <t>45RE</t>
        </is>
      </c>
      <c r="C22" s="1" t="inlineStr">
        <is>
          <t>OER</t>
        </is>
      </c>
    </row>
    <row r="23" ht="13" customHeight="1">
      <c r="A23" s="1" t="inlineStr">
        <is>
          <t>LCH27</t>
        </is>
      </c>
      <c r="B23" s="1" t="inlineStr">
        <is>
          <t>22RE</t>
        </is>
      </c>
      <c r="C23" s="1" t="inlineStr">
        <is>
          <t>OER</t>
        </is>
      </c>
    </row>
    <row r="24" ht="13" customHeight="1">
      <c r="A24" s="1" t="inlineStr">
        <is>
          <t>LCH27</t>
        </is>
      </c>
      <c r="B24" s="1" t="inlineStr">
        <is>
          <t>45RE</t>
        </is>
      </c>
      <c r="C24" s="1" t="inlineStr">
        <is>
          <t>OER</t>
        </is>
      </c>
    </row>
    <row r="25" ht="13" customHeight="1">
      <c r="A25" s="1" t="inlineStr">
        <is>
          <t>LCH27</t>
        </is>
      </c>
      <c r="B25" s="1" t="inlineStr">
        <is>
          <t>45RE</t>
        </is>
      </c>
      <c r="C25" s="1" t="inlineStr">
        <is>
          <t>OER</t>
        </is>
      </c>
    </row>
    <row r="26" ht="13" customHeight="1">
      <c r="A26" s="1" t="inlineStr">
        <is>
          <t>LCH27</t>
        </is>
      </c>
      <c r="B26" s="1" t="inlineStr">
        <is>
          <t>45RE</t>
        </is>
      </c>
      <c r="C26" s="1" t="inlineStr">
        <is>
          <t>OER</t>
        </is>
      </c>
    </row>
    <row r="27" ht="13" customHeight="1">
      <c r="A27" s="1" t="inlineStr">
        <is>
          <t>BKK27</t>
        </is>
      </c>
      <c r="B27" s="1" t="inlineStr">
        <is>
          <t>45RE</t>
        </is>
      </c>
      <c r="C27" s="1" t="inlineStr">
        <is>
          <t>OER</t>
        </is>
      </c>
    </row>
    <row r="28" ht="13" customHeight="1">
      <c r="A28" s="1" t="inlineStr">
        <is>
          <t>LCH27</t>
        </is>
      </c>
      <c r="B28" s="1" t="inlineStr">
        <is>
          <t>45RE</t>
        </is>
      </c>
      <c r="C28" s="1" t="inlineStr">
        <is>
          <t>OER</t>
        </is>
      </c>
    </row>
    <row r="29" ht="13" customHeight="1">
      <c r="A29" s="1" t="inlineStr">
        <is>
          <t>LCH27</t>
        </is>
      </c>
      <c r="B29" s="1" t="inlineStr">
        <is>
          <t>45RE</t>
        </is>
      </c>
      <c r="C29" s="1" t="inlineStr">
        <is>
          <t>OER</t>
        </is>
      </c>
    </row>
    <row r="30" ht="13" customHeight="1">
      <c r="A30" s="1" t="inlineStr">
        <is>
          <t>LCH27</t>
        </is>
      </c>
      <c r="B30" s="1" t="inlineStr">
        <is>
          <t>45RE</t>
        </is>
      </c>
      <c r="C30" s="1" t="inlineStr">
        <is>
          <t>OER</t>
        </is>
      </c>
    </row>
    <row r="31" ht="13" customHeight="1">
      <c r="A31" s="1" t="inlineStr">
        <is>
          <t>LCH27</t>
        </is>
      </c>
      <c r="B31" s="1" t="inlineStr">
        <is>
          <t>45RE</t>
        </is>
      </c>
      <c r="C31" s="1" t="inlineStr">
        <is>
          <t>OER</t>
        </is>
      </c>
    </row>
    <row r="32" ht="13" customHeight="1">
      <c r="A32" s="1" t="inlineStr">
        <is>
          <t>LCH27</t>
        </is>
      </c>
      <c r="B32" s="1" t="inlineStr">
        <is>
          <t>45RE</t>
        </is>
      </c>
      <c r="C32" s="1" t="inlineStr">
        <is>
          <t>OER</t>
        </is>
      </c>
    </row>
    <row r="33" ht="13" customHeight="1">
      <c r="A33" s="1" t="inlineStr">
        <is>
          <t>BKK27</t>
        </is>
      </c>
      <c r="B33" s="1" t="inlineStr">
        <is>
          <t>45RE</t>
        </is>
      </c>
      <c r="C33" s="1" t="inlineStr">
        <is>
          <t>OER</t>
        </is>
      </c>
    </row>
    <row r="34" ht="13" customHeight="1">
      <c r="A34" s="1" t="inlineStr">
        <is>
          <t>BKK27</t>
        </is>
      </c>
      <c r="B34" s="1" t="inlineStr">
        <is>
          <t>45RE</t>
        </is>
      </c>
      <c r="C34" s="1" t="inlineStr">
        <is>
          <t>OER</t>
        </is>
      </c>
    </row>
    <row r="35" ht="13" customHeight="1">
      <c r="A35" s="1" t="inlineStr">
        <is>
          <t>BKK27</t>
        </is>
      </c>
      <c r="B35" s="1" t="inlineStr">
        <is>
          <t>45RE</t>
        </is>
      </c>
      <c r="C35" s="1" t="inlineStr">
        <is>
          <t>OER</t>
        </is>
      </c>
    </row>
    <row r="36" ht="13" customHeight="1">
      <c r="A36" s="1" t="inlineStr">
        <is>
          <t>LCH27</t>
        </is>
      </c>
      <c r="B36" s="1" t="inlineStr">
        <is>
          <t>45RE</t>
        </is>
      </c>
      <c r="C36" s="1" t="inlineStr">
        <is>
          <t>OER</t>
        </is>
      </c>
    </row>
    <row r="37" ht="13" customHeight="1">
      <c r="A37" s="1" t="inlineStr">
        <is>
          <t>LCH27</t>
        </is>
      </c>
      <c r="B37" s="1" t="inlineStr">
        <is>
          <t>45RE</t>
        </is>
      </c>
      <c r="C37" s="1" t="inlineStr">
        <is>
          <t>OER</t>
        </is>
      </c>
    </row>
    <row r="38" ht="13" customHeight="1">
      <c r="A38" s="1" t="inlineStr">
        <is>
          <t>LCH27</t>
        </is>
      </c>
      <c r="B38" s="1" t="inlineStr">
        <is>
          <t>45RE</t>
        </is>
      </c>
      <c r="C38" s="1" t="inlineStr">
        <is>
          <t>OER</t>
        </is>
      </c>
    </row>
    <row r="39" ht="13" customHeight="1">
      <c r="A39" s="1" t="inlineStr">
        <is>
          <t>LCH27</t>
        </is>
      </c>
      <c r="B39" s="1" t="inlineStr">
        <is>
          <t>45RE</t>
        </is>
      </c>
      <c r="C39" s="1" t="inlineStr">
        <is>
          <t>OER</t>
        </is>
      </c>
    </row>
    <row r="40" ht="13" customHeight="1">
      <c r="A40" s="1" t="inlineStr">
        <is>
          <t>LCH27</t>
        </is>
      </c>
      <c r="B40" s="1" t="inlineStr">
        <is>
          <t>45RE</t>
        </is>
      </c>
      <c r="C40" s="1" t="inlineStr">
        <is>
          <t>OER</t>
        </is>
      </c>
    </row>
    <row r="41" ht="13" customHeight="1">
      <c r="A41" s="1" t="inlineStr">
        <is>
          <t>BKK27</t>
        </is>
      </c>
      <c r="B41" s="1" t="inlineStr">
        <is>
          <t>45RE</t>
        </is>
      </c>
      <c r="C41" s="1" t="inlineStr">
        <is>
          <t>OER</t>
        </is>
      </c>
    </row>
    <row r="42" ht="13" customHeight="1">
      <c r="A42" s="1" t="inlineStr">
        <is>
          <t>LCH27</t>
        </is>
      </c>
      <c r="B42" s="1" t="inlineStr">
        <is>
          <t>45RE</t>
        </is>
      </c>
      <c r="C42" s="1" t="inlineStr">
        <is>
          <t>OER</t>
        </is>
      </c>
    </row>
    <row r="43" ht="13" customHeight="1">
      <c r="A43" s="1" t="inlineStr">
        <is>
          <t>LCH27</t>
        </is>
      </c>
      <c r="B43" s="1" t="inlineStr">
        <is>
          <t>45RE</t>
        </is>
      </c>
      <c r="C43" s="1" t="inlineStr">
        <is>
          <t>OER</t>
        </is>
      </c>
    </row>
    <row r="44" ht="13" customHeight="1">
      <c r="A44" s="1" t="inlineStr">
        <is>
          <t>BKK27</t>
        </is>
      </c>
      <c r="B44" s="1" t="inlineStr">
        <is>
          <t>45RE</t>
        </is>
      </c>
      <c r="C44" s="1" t="inlineStr">
        <is>
          <t>OER</t>
        </is>
      </c>
    </row>
    <row r="45" ht="13" customHeight="1">
      <c r="A45" s="1" t="inlineStr">
        <is>
          <t>BKK27</t>
        </is>
      </c>
      <c r="B45" s="1" t="inlineStr">
        <is>
          <t>45RE</t>
        </is>
      </c>
      <c r="C45" s="1" t="inlineStr">
        <is>
          <t>OER</t>
        </is>
      </c>
    </row>
    <row r="46" ht="13" customHeight="1">
      <c r="A46" s="1" t="inlineStr">
        <is>
          <t>BKK27</t>
        </is>
      </c>
      <c r="B46" s="1" t="inlineStr">
        <is>
          <t>45RE</t>
        </is>
      </c>
      <c r="C46" s="1" t="inlineStr">
        <is>
          <t>OER</t>
        </is>
      </c>
    </row>
    <row r="47" ht="13" customHeight="1">
      <c r="A47" s="1" t="inlineStr">
        <is>
          <t>BKK27</t>
        </is>
      </c>
      <c r="B47" s="1" t="inlineStr">
        <is>
          <t>45RE</t>
        </is>
      </c>
      <c r="C47" s="1" t="inlineStr">
        <is>
          <t>OER</t>
        </is>
      </c>
    </row>
    <row r="48" ht="13" customHeight="1">
      <c r="A48" s="1" t="inlineStr">
        <is>
          <t>BKK27</t>
        </is>
      </c>
      <c r="B48" s="1" t="inlineStr">
        <is>
          <t>22RE</t>
        </is>
      </c>
      <c r="C48" s="1" t="inlineStr">
        <is>
          <t>IER</t>
        </is>
      </c>
    </row>
    <row r="49" ht="13" customHeight="1">
      <c r="A49" s="1" t="inlineStr">
        <is>
          <t>BKK27</t>
        </is>
      </c>
      <c r="B49" s="1" t="inlineStr">
        <is>
          <t>45RE</t>
        </is>
      </c>
      <c r="C49" s="1" t="inlineStr">
        <is>
          <t>IER</t>
        </is>
      </c>
    </row>
    <row r="50" ht="13" customHeight="1">
      <c r="A50" s="1" t="inlineStr">
        <is>
          <t>BKK27</t>
        </is>
      </c>
      <c r="B50" s="1" t="inlineStr">
        <is>
          <t>22RE</t>
        </is>
      </c>
      <c r="C50" s="1" t="inlineStr">
        <is>
          <t>IER</t>
        </is>
      </c>
    </row>
    <row r="51" ht="13" customHeight="1">
      <c r="A51" s="1" t="inlineStr">
        <is>
          <t>BKK27</t>
        </is>
      </c>
      <c r="B51" s="1" t="inlineStr">
        <is>
          <t>45RE</t>
        </is>
      </c>
      <c r="C51" s="1" t="inlineStr">
        <is>
          <t>IER</t>
        </is>
      </c>
    </row>
    <row r="52" ht="13" customHeight="1">
      <c r="A52" s="1" t="inlineStr">
        <is>
          <t>BKK27</t>
        </is>
      </c>
      <c r="B52" s="1" t="inlineStr">
        <is>
          <t>22RE</t>
        </is>
      </c>
      <c r="C52" s="1" t="inlineStr">
        <is>
          <t>IER</t>
        </is>
      </c>
    </row>
    <row r="53" ht="13" customHeight="1">
      <c r="A53" s="1" t="inlineStr">
        <is>
          <t>BKK27</t>
        </is>
      </c>
      <c r="B53" s="1" t="inlineStr">
        <is>
          <t>22RE</t>
        </is>
      </c>
      <c r="C53" s="1" t="inlineStr">
        <is>
          <t>IER</t>
        </is>
      </c>
    </row>
    <row r="54" ht="13" customHeight="1">
      <c r="A54" s="1" t="inlineStr">
        <is>
          <t>BKK27</t>
        </is>
      </c>
      <c r="B54" s="1" t="inlineStr">
        <is>
          <t>22RE</t>
        </is>
      </c>
      <c r="C54" s="1" t="inlineStr">
        <is>
          <t>IER</t>
        </is>
      </c>
    </row>
    <row r="55" ht="13" customHeight="1">
      <c r="A55" s="1" t="inlineStr">
        <is>
          <t>LCH27</t>
        </is>
      </c>
      <c r="B55" s="1" t="inlineStr">
        <is>
          <t>22RE</t>
        </is>
      </c>
      <c r="C55" s="1" t="inlineStr">
        <is>
          <t>IER</t>
        </is>
      </c>
    </row>
    <row r="56" ht="13" customHeight="1">
      <c r="A56" s="1" t="inlineStr">
        <is>
          <t>LCH27</t>
        </is>
      </c>
      <c r="B56" s="1" t="inlineStr">
        <is>
          <t>22RE</t>
        </is>
      </c>
      <c r="C56" s="1" t="inlineStr">
        <is>
          <t>IER</t>
        </is>
      </c>
    </row>
    <row r="57" ht="13" customHeight="1">
      <c r="A57" s="1" t="inlineStr">
        <is>
          <t>LCH27</t>
        </is>
      </c>
      <c r="B57" s="1" t="inlineStr">
        <is>
          <t>22RE</t>
        </is>
      </c>
      <c r="C57" s="1" t="inlineStr">
        <is>
          <t>IER</t>
        </is>
      </c>
    </row>
    <row r="58" ht="13" customHeight="1">
      <c r="A58" s="1" t="inlineStr">
        <is>
          <t>BKK27</t>
        </is>
      </c>
      <c r="B58" s="1" t="inlineStr">
        <is>
          <t>22RE</t>
        </is>
      </c>
      <c r="C58" s="1" t="inlineStr">
        <is>
          <t>IER</t>
        </is>
      </c>
    </row>
    <row r="59" ht="13" customHeight="1">
      <c r="A59" s="1" t="inlineStr">
        <is>
          <t>BKK27</t>
        </is>
      </c>
      <c r="B59" s="1" t="inlineStr">
        <is>
          <t>22RE</t>
        </is>
      </c>
      <c r="C59" s="1" t="inlineStr">
        <is>
          <t>IER</t>
        </is>
      </c>
    </row>
    <row r="60" ht="13" customHeight="1">
      <c r="A60" s="1" t="inlineStr">
        <is>
          <t>BKK27</t>
        </is>
      </c>
      <c r="B60" s="1" t="inlineStr">
        <is>
          <t>22RE</t>
        </is>
      </c>
      <c r="C60" s="1" t="inlineStr">
        <is>
          <t>IER</t>
        </is>
      </c>
    </row>
    <row r="61" ht="13" customHeight="1">
      <c r="A61" s="1" t="inlineStr">
        <is>
          <t>BKK27</t>
        </is>
      </c>
      <c r="B61" s="1" t="inlineStr">
        <is>
          <t>45RE</t>
        </is>
      </c>
      <c r="C61" s="1" t="inlineStr">
        <is>
          <t>IER</t>
        </is>
      </c>
    </row>
    <row r="62" ht="13" customHeight="1">
      <c r="A62" s="1" t="inlineStr">
        <is>
          <t>LCH27</t>
        </is>
      </c>
      <c r="B62" s="1" t="inlineStr">
        <is>
          <t>45RE</t>
        </is>
      </c>
      <c r="C62" s="1" t="inlineStr">
        <is>
          <t>IER</t>
        </is>
      </c>
    </row>
    <row r="63" ht="13" customHeight="1">
      <c r="A63" s="1" t="inlineStr">
        <is>
          <t>LCH27</t>
        </is>
      </c>
      <c r="B63" s="1" t="inlineStr">
        <is>
          <t>45RE</t>
        </is>
      </c>
      <c r="C63" s="1" t="inlineStr">
        <is>
          <t>IER</t>
        </is>
      </c>
    </row>
    <row r="64" ht="13" customHeight="1">
      <c r="A64" s="1" t="inlineStr">
        <is>
          <t>LCH27</t>
        </is>
      </c>
      <c r="B64" s="1" t="inlineStr">
        <is>
          <t>45RE</t>
        </is>
      </c>
      <c r="C64" s="1" t="inlineStr">
        <is>
          <t>IER</t>
        </is>
      </c>
    </row>
    <row r="65" ht="13" customHeight="1">
      <c r="A65" s="1" t="inlineStr">
        <is>
          <t>BKK27</t>
        </is>
      </c>
      <c r="B65" s="1" t="inlineStr">
        <is>
          <t>22RE</t>
        </is>
      </c>
      <c r="C65" s="1" t="inlineStr">
        <is>
          <t>IER</t>
        </is>
      </c>
    </row>
    <row r="66" ht="13" customHeight="1">
      <c r="A66" s="1" t="inlineStr">
        <is>
          <t>BKK27</t>
        </is>
      </c>
      <c r="B66" s="1" t="inlineStr">
        <is>
          <t>45RE</t>
        </is>
      </c>
      <c r="C66" s="1" t="inlineStr">
        <is>
          <t>IER</t>
        </is>
      </c>
    </row>
    <row r="67" ht="13" customHeight="1">
      <c r="A67" s="1" t="inlineStr">
        <is>
          <t>BKK27</t>
        </is>
      </c>
      <c r="B67" s="1" t="inlineStr">
        <is>
          <t>45RE</t>
        </is>
      </c>
      <c r="C67" s="1" t="inlineStr">
        <is>
          <t>IER</t>
        </is>
      </c>
    </row>
    <row r="68" ht="13" customHeight="1">
      <c r="A68" s="1" t="inlineStr">
        <is>
          <t>BKK27</t>
        </is>
      </c>
      <c r="B68" s="1" t="inlineStr">
        <is>
          <t>22RE</t>
        </is>
      </c>
      <c r="C68" s="1" t="inlineStr">
        <is>
          <t>IER</t>
        </is>
      </c>
    </row>
    <row r="69" ht="13" customHeight="1">
      <c r="A69" s="1" t="inlineStr">
        <is>
          <t>BKK27</t>
        </is>
      </c>
      <c r="B69" s="1" t="inlineStr">
        <is>
          <t>22RE</t>
        </is>
      </c>
      <c r="C69" s="1" t="inlineStr">
        <is>
          <t>IER</t>
        </is>
      </c>
    </row>
    <row r="70" ht="13" customHeight="1">
      <c r="A70" s="1" t="inlineStr">
        <is>
          <t>LCH27</t>
        </is>
      </c>
      <c r="B70" s="1" t="inlineStr">
        <is>
          <t>45RE</t>
        </is>
      </c>
      <c r="C70" s="1" t="inlineStr">
        <is>
          <t>IER</t>
        </is>
      </c>
    </row>
    <row r="71" ht="13" customHeight="1">
      <c r="A71" s="1" t="inlineStr">
        <is>
          <t>BKK27</t>
        </is>
      </c>
      <c r="B71" s="1" t="inlineStr">
        <is>
          <t>22RE</t>
        </is>
      </c>
      <c r="C71" s="1" t="inlineStr">
        <is>
          <t>IER</t>
        </is>
      </c>
    </row>
    <row r="72" ht="13" customHeight="1">
      <c r="A72" s="1" t="inlineStr">
        <is>
          <t>BKK27</t>
        </is>
      </c>
      <c r="B72" s="1" t="inlineStr">
        <is>
          <t>22RE</t>
        </is>
      </c>
      <c r="C72" s="1" t="inlineStr">
        <is>
          <t>IER</t>
        </is>
      </c>
    </row>
    <row r="73" ht="13" customHeight="1">
      <c r="A73" s="1" t="inlineStr">
        <is>
          <t>BKK27</t>
        </is>
      </c>
      <c r="B73" s="1" t="inlineStr">
        <is>
          <t>22RE</t>
        </is>
      </c>
      <c r="C73" s="1" t="inlineStr">
        <is>
          <t>IER</t>
        </is>
      </c>
    </row>
    <row r="74" ht="13" customHeight="1">
      <c r="A74" s="1" t="inlineStr">
        <is>
          <t>BKK27</t>
        </is>
      </c>
      <c r="B74" s="1" t="inlineStr">
        <is>
          <t>22RE</t>
        </is>
      </c>
      <c r="C74" s="1" t="inlineStr">
        <is>
          <t>IER</t>
        </is>
      </c>
    </row>
    <row r="75" ht="13" customHeight="1">
      <c r="A75" s="1" t="inlineStr">
        <is>
          <t>BKK27</t>
        </is>
      </c>
      <c r="B75" s="1" t="inlineStr">
        <is>
          <t>22RE</t>
        </is>
      </c>
      <c r="C75" s="1" t="inlineStr">
        <is>
          <t>IER</t>
        </is>
      </c>
    </row>
    <row r="76" ht="13" customHeight="1">
      <c r="A76" s="1" t="inlineStr">
        <is>
          <t>BKK27</t>
        </is>
      </c>
      <c r="B76" s="1" t="inlineStr">
        <is>
          <t>22RE</t>
        </is>
      </c>
      <c r="C76" s="1" t="inlineStr">
        <is>
          <t>IER</t>
        </is>
      </c>
    </row>
    <row r="77" ht="13" customHeight="1">
      <c r="A77" s="1" t="inlineStr">
        <is>
          <t>BKK27</t>
        </is>
      </c>
      <c r="B77" s="1" t="inlineStr">
        <is>
          <t>22RE</t>
        </is>
      </c>
      <c r="C77" s="1" t="inlineStr">
        <is>
          <t>IER</t>
        </is>
      </c>
    </row>
    <row r="78" ht="13" customHeight="1">
      <c r="A78" s="1" t="inlineStr">
        <is>
          <t>LCH27</t>
        </is>
      </c>
      <c r="B78" s="1" t="inlineStr">
        <is>
          <t>22RE</t>
        </is>
      </c>
      <c r="C78" s="1" t="inlineStr">
        <is>
          <t>IER</t>
        </is>
      </c>
    </row>
    <row r="79" ht="13" customHeight="1">
      <c r="A79" s="1" t="inlineStr">
        <is>
          <t>LCH27</t>
        </is>
      </c>
      <c r="B79" s="1" t="inlineStr">
        <is>
          <t>22RE</t>
        </is>
      </c>
      <c r="C79" s="1" t="inlineStr">
        <is>
          <t>IER</t>
        </is>
      </c>
    </row>
    <row r="80" ht="13" customHeight="1">
      <c r="A80" s="1" t="inlineStr">
        <is>
          <t>BKK27</t>
        </is>
      </c>
      <c r="B80" s="1" t="inlineStr">
        <is>
          <t>22RE</t>
        </is>
      </c>
      <c r="C80" s="1" t="inlineStr">
        <is>
          <t>IER</t>
        </is>
      </c>
    </row>
    <row r="81" ht="13" customHeight="1">
      <c r="A81" s="1" t="inlineStr">
        <is>
          <t>BKK27</t>
        </is>
      </c>
      <c r="B81" s="1" t="inlineStr">
        <is>
          <t>45RE</t>
        </is>
      </c>
      <c r="C81" s="1" t="inlineStr">
        <is>
          <t>IER</t>
        </is>
      </c>
    </row>
    <row r="82" ht="13" customHeight="1">
      <c r="A82" s="1" t="inlineStr">
        <is>
          <t>BKK27</t>
        </is>
      </c>
      <c r="B82" s="1" t="inlineStr">
        <is>
          <t>22RE</t>
        </is>
      </c>
      <c r="C82" s="1" t="inlineStr">
        <is>
          <t>IER</t>
        </is>
      </c>
    </row>
    <row r="83" ht="13" customHeight="1">
      <c r="A83" s="1" t="inlineStr">
        <is>
          <t>BKK27</t>
        </is>
      </c>
      <c r="B83" s="1" t="inlineStr">
        <is>
          <t>45RE</t>
        </is>
      </c>
      <c r="C83" s="1" t="inlineStr">
        <is>
          <t>IER</t>
        </is>
      </c>
    </row>
    <row r="84" ht="13" customHeight="1">
      <c r="A84" s="1" t="inlineStr">
        <is>
          <t>LCH27</t>
        </is>
      </c>
      <c r="B84" s="1" t="inlineStr">
        <is>
          <t>45RE</t>
        </is>
      </c>
      <c r="C84" s="1" t="inlineStr">
        <is>
          <t>IER</t>
        </is>
      </c>
    </row>
    <row r="85" ht="13" customHeight="1">
      <c r="A85" s="1" t="inlineStr">
        <is>
          <t>LCH27</t>
        </is>
      </c>
      <c r="B85" s="1" t="inlineStr">
        <is>
          <t>45RE</t>
        </is>
      </c>
      <c r="C85" s="1" t="inlineStr">
        <is>
          <t>IER</t>
        </is>
      </c>
    </row>
    <row r="86" ht="13" customHeight="1">
      <c r="A86" s="1" t="inlineStr">
        <is>
          <t>LCH27</t>
        </is>
      </c>
      <c r="B86" s="1" t="inlineStr">
        <is>
          <t>45RE</t>
        </is>
      </c>
      <c r="C86" s="1" t="inlineStr">
        <is>
          <t>IER</t>
        </is>
      </c>
    </row>
    <row r="87" ht="13" customHeight="1">
      <c r="A87" s="1" t="inlineStr">
        <is>
          <t>LCH27</t>
        </is>
      </c>
      <c r="B87" s="1" t="inlineStr">
        <is>
          <t>45RE</t>
        </is>
      </c>
      <c r="C87" s="1" t="inlineStr">
        <is>
          <t>IER</t>
        </is>
      </c>
    </row>
    <row r="88" ht="13" customHeight="1">
      <c r="A88" s="1" t="inlineStr">
        <is>
          <t>LCH27</t>
        </is>
      </c>
      <c r="B88" s="1" t="inlineStr">
        <is>
          <t>45RE</t>
        </is>
      </c>
      <c r="C88" s="1" t="inlineStr">
        <is>
          <t>IER</t>
        </is>
      </c>
    </row>
    <row r="89" ht="13" customHeight="1">
      <c r="A89" s="1" t="inlineStr">
        <is>
          <t>LCH27</t>
        </is>
      </c>
      <c r="B89" s="1" t="inlineStr">
        <is>
          <t>45RE</t>
        </is>
      </c>
      <c r="C89" s="1" t="inlineStr">
        <is>
          <t>IER</t>
        </is>
      </c>
    </row>
    <row r="90" ht="13" customHeight="1">
      <c r="A90" s="1" t="inlineStr">
        <is>
          <t>LCH27</t>
        </is>
      </c>
      <c r="B90" s="1" t="inlineStr">
        <is>
          <t>45RE</t>
        </is>
      </c>
      <c r="C90" s="1" t="inlineStr">
        <is>
          <t>IER</t>
        </is>
      </c>
    </row>
    <row r="91" ht="13" customHeight="1">
      <c r="A91" s="1" t="inlineStr">
        <is>
          <t>BKK27</t>
        </is>
      </c>
      <c r="B91" s="1" t="inlineStr">
        <is>
          <t>45RE</t>
        </is>
      </c>
      <c r="C91" s="1" t="inlineStr">
        <is>
          <t>IER</t>
        </is>
      </c>
    </row>
    <row r="92" ht="13" customHeight="1">
      <c r="A92" s="1" t="inlineStr">
        <is>
          <t>BKK27</t>
        </is>
      </c>
      <c r="B92" s="1" t="inlineStr">
        <is>
          <t>45RE</t>
        </is>
      </c>
      <c r="C92" s="1" t="inlineStr">
        <is>
          <t>IER</t>
        </is>
      </c>
    </row>
    <row r="93" ht="13" customHeight="1">
      <c r="A93" s="1" t="inlineStr">
        <is>
          <t>BKK27</t>
        </is>
      </c>
      <c r="B93" s="1" t="inlineStr">
        <is>
          <t>45RE</t>
        </is>
      </c>
      <c r="C93" s="1" t="inlineStr">
        <is>
          <t>IER</t>
        </is>
      </c>
    </row>
    <row r="94" ht="13" customHeight="1">
      <c r="A94" s="1" t="inlineStr">
        <is>
          <t>BKK27</t>
        </is>
      </c>
      <c r="B94" s="1" t="inlineStr">
        <is>
          <t>22RE</t>
        </is>
      </c>
      <c r="C94" s="1" t="inlineStr">
        <is>
          <t>IER</t>
        </is>
      </c>
    </row>
    <row r="95" ht="13" customHeight="1">
      <c r="A95" s="1" t="inlineStr">
        <is>
          <t>LCH27</t>
        </is>
      </c>
      <c r="B95" s="1" t="inlineStr">
        <is>
          <t>45RE</t>
        </is>
      </c>
      <c r="C95" s="1" t="inlineStr">
        <is>
          <t>IER</t>
        </is>
      </c>
    </row>
    <row r="96" ht="13" customHeight="1">
      <c r="A96" s="1" t="inlineStr">
        <is>
          <t>LCH27</t>
        </is>
      </c>
      <c r="B96" s="1" t="inlineStr">
        <is>
          <t>45RE</t>
        </is>
      </c>
      <c r="C96" s="1" t="inlineStr">
        <is>
          <t>IER</t>
        </is>
      </c>
    </row>
    <row r="97" ht="13" customHeight="1">
      <c r="A97" s="1" t="inlineStr">
        <is>
          <t>LCH27</t>
        </is>
      </c>
      <c r="B97" s="1" t="inlineStr">
        <is>
          <t>45RE</t>
        </is>
      </c>
      <c r="C97" s="1" t="inlineStr">
        <is>
          <t>IER</t>
        </is>
      </c>
    </row>
    <row r="98" ht="13" customHeight="1">
      <c r="A98" s="1" t="inlineStr">
        <is>
          <t>LCH27</t>
        </is>
      </c>
      <c r="B98" s="1" t="inlineStr">
        <is>
          <t>45RE</t>
        </is>
      </c>
      <c r="C98" s="1" t="inlineStr">
        <is>
          <t>IER</t>
        </is>
      </c>
    </row>
    <row r="99" ht="13" customHeight="1">
      <c r="A99" s="1" t="inlineStr">
        <is>
          <t>LCH27</t>
        </is>
      </c>
      <c r="B99" s="1" t="inlineStr">
        <is>
          <t>45RE</t>
        </is>
      </c>
      <c r="C99" s="1" t="inlineStr">
        <is>
          <t>IER</t>
        </is>
      </c>
    </row>
    <row r="100" ht="13" customHeight="1">
      <c r="A100" s="1" t="inlineStr">
        <is>
          <t>LCH27</t>
        </is>
      </c>
      <c r="B100" s="1" t="inlineStr">
        <is>
          <t>45RE</t>
        </is>
      </c>
      <c r="C100" s="1" t="inlineStr">
        <is>
          <t>IER</t>
        </is>
      </c>
    </row>
    <row r="101" ht="13" customHeight="1">
      <c r="A101" s="1" t="inlineStr">
        <is>
          <t>LCH27</t>
        </is>
      </c>
      <c r="B101" s="1" t="inlineStr">
        <is>
          <t>45RE</t>
        </is>
      </c>
      <c r="C101" s="1" t="inlineStr">
        <is>
          <t>IER</t>
        </is>
      </c>
    </row>
    <row r="102" ht="13" customHeight="1">
      <c r="A102" s="1" t="inlineStr">
        <is>
          <t>LCH27</t>
        </is>
      </c>
      <c r="B102" s="1" t="inlineStr">
        <is>
          <t>22RE</t>
        </is>
      </c>
      <c r="C102" s="1" t="inlineStr">
        <is>
          <t>IER</t>
        </is>
      </c>
    </row>
    <row r="103" ht="13" customHeight="1">
      <c r="A103" s="1" t="inlineStr">
        <is>
          <t>LCH27</t>
        </is>
      </c>
      <c r="B103" s="1" t="inlineStr">
        <is>
          <t>45RE</t>
        </is>
      </c>
      <c r="C103" s="1" t="inlineStr">
        <is>
          <t>IER</t>
        </is>
      </c>
    </row>
    <row r="104" ht="13" customHeight="1">
      <c r="A104" s="1" t="inlineStr">
        <is>
          <t>LCH27</t>
        </is>
      </c>
      <c r="B104" s="1" t="inlineStr">
        <is>
          <t>45RE</t>
        </is>
      </c>
      <c r="C104" s="1" t="inlineStr">
        <is>
          <t>IER</t>
        </is>
      </c>
    </row>
    <row r="105" ht="13" customHeight="1">
      <c r="A105" s="1" t="inlineStr">
        <is>
          <t>LCH27</t>
        </is>
      </c>
      <c r="B105" s="1" t="inlineStr">
        <is>
          <t>45RE</t>
        </is>
      </c>
      <c r="C105" s="1" t="inlineStr">
        <is>
          <t>IER</t>
        </is>
      </c>
    </row>
    <row r="106" ht="13" customHeight="1">
      <c r="A106" s="1" t="inlineStr">
        <is>
          <t>LCH27</t>
        </is>
      </c>
      <c r="B106" s="1" t="inlineStr">
        <is>
          <t>45RE</t>
        </is>
      </c>
      <c r="C106" s="1" t="inlineStr">
        <is>
          <t>IER</t>
        </is>
      </c>
    </row>
    <row r="107" ht="13" customHeight="1">
      <c r="A107" s="1" t="inlineStr">
        <is>
          <t>LCH27</t>
        </is>
      </c>
      <c r="B107" s="1" t="inlineStr">
        <is>
          <t>45RE</t>
        </is>
      </c>
      <c r="C107" s="1" t="inlineStr">
        <is>
          <t>IER</t>
        </is>
      </c>
    </row>
    <row r="108" ht="13" customHeight="1">
      <c r="A108" s="1" t="inlineStr">
        <is>
          <t>LCH27</t>
        </is>
      </c>
      <c r="B108" s="1" t="inlineStr">
        <is>
          <t>45RE</t>
        </is>
      </c>
      <c r="C108" s="1" t="inlineStr">
        <is>
          <t>IER</t>
        </is>
      </c>
    </row>
    <row r="109" ht="13" customHeight="1">
      <c r="A109" s="1" t="inlineStr">
        <is>
          <t>LCH27</t>
        </is>
      </c>
      <c r="B109" s="1" t="inlineStr">
        <is>
          <t>22RE</t>
        </is>
      </c>
      <c r="C109" s="1" t="inlineStr">
        <is>
          <t>IER</t>
        </is>
      </c>
    </row>
    <row r="110" ht="13" customHeight="1">
      <c r="A110" s="1" t="inlineStr">
        <is>
          <t>BKK27</t>
        </is>
      </c>
      <c r="B110" s="1" t="inlineStr">
        <is>
          <t>22RE</t>
        </is>
      </c>
      <c r="C110" s="1" t="inlineStr">
        <is>
          <t>IER</t>
        </is>
      </c>
    </row>
    <row r="111" ht="13" customHeight="1">
      <c r="A111" s="1" t="inlineStr">
        <is>
          <t>BKK27</t>
        </is>
      </c>
      <c r="B111" s="1" t="inlineStr">
        <is>
          <t>22RE</t>
        </is>
      </c>
      <c r="C111" s="1" t="inlineStr">
        <is>
          <t>IER</t>
        </is>
      </c>
    </row>
    <row r="112" ht="13" customHeight="1">
      <c r="A112" s="1" t="inlineStr">
        <is>
          <t>BKK27</t>
        </is>
      </c>
      <c r="B112" s="1" t="inlineStr">
        <is>
          <t>22RE</t>
        </is>
      </c>
      <c r="C112" s="1" t="inlineStr">
        <is>
          <t>IER</t>
        </is>
      </c>
    </row>
    <row r="113" ht="13" customHeight="1">
      <c r="A113" s="1" t="inlineStr">
        <is>
          <t>BKK27</t>
        </is>
      </c>
      <c r="B113" s="1" t="inlineStr">
        <is>
          <t>45RE</t>
        </is>
      </c>
      <c r="C113" s="1" t="inlineStr">
        <is>
          <t>IER</t>
        </is>
      </c>
    </row>
    <row r="114" ht="13" customHeight="1">
      <c r="A114" s="1" t="inlineStr">
        <is>
          <t>BKK27</t>
        </is>
      </c>
      <c r="B114" s="1" t="inlineStr">
        <is>
          <t>45RE</t>
        </is>
      </c>
      <c r="C114" s="1" t="inlineStr">
        <is>
          <t>IER</t>
        </is>
      </c>
    </row>
    <row r="115" ht="13" customHeight="1">
      <c r="A115" s="1" t="inlineStr">
        <is>
          <t>BKK27</t>
        </is>
      </c>
      <c r="B115" s="1" t="inlineStr">
        <is>
          <t>22RE</t>
        </is>
      </c>
      <c r="C115" s="1" t="inlineStr">
        <is>
          <t>IER</t>
        </is>
      </c>
    </row>
    <row r="116" ht="13" customHeight="1">
      <c r="A116" s="1" t="inlineStr">
        <is>
          <t>BKK27</t>
        </is>
      </c>
      <c r="B116" s="1" t="inlineStr">
        <is>
          <t>22RE</t>
        </is>
      </c>
      <c r="C116" s="1" t="inlineStr">
        <is>
          <t>IER</t>
        </is>
      </c>
    </row>
    <row r="117" ht="13" customHeight="1">
      <c r="A117" s="1" t="inlineStr">
        <is>
          <t>BKK27</t>
        </is>
      </c>
      <c r="B117" s="1" t="inlineStr">
        <is>
          <t>22RE</t>
        </is>
      </c>
      <c r="C117" s="1" t="inlineStr">
        <is>
          <t>IER</t>
        </is>
      </c>
    </row>
    <row r="118" ht="13" customHeight="1">
      <c r="A118" s="1" t="inlineStr">
        <is>
          <t>BKK27</t>
        </is>
      </c>
      <c r="B118" s="1" t="inlineStr">
        <is>
          <t>22RE</t>
        </is>
      </c>
      <c r="C118" s="1" t="inlineStr">
        <is>
          <t>IER</t>
        </is>
      </c>
    </row>
    <row r="119" ht="13" customHeight="1">
      <c r="A119" s="1" t="inlineStr">
        <is>
          <t>BKK27</t>
        </is>
      </c>
      <c r="B119" s="1" t="inlineStr">
        <is>
          <t>22RE</t>
        </is>
      </c>
      <c r="C119" s="1" t="inlineStr">
        <is>
          <t>IER</t>
        </is>
      </c>
    </row>
    <row r="120" ht="13" customHeight="1">
      <c r="A120" s="1" t="inlineStr">
        <is>
          <t>BKK27</t>
        </is>
      </c>
      <c r="B120" s="1" t="inlineStr">
        <is>
          <t>45RE</t>
        </is>
      </c>
      <c r="C120" s="1" t="inlineStr">
        <is>
          <t>IER</t>
        </is>
      </c>
    </row>
    <row r="121" ht="13" customHeight="1">
      <c r="A121" s="1" t="inlineStr">
        <is>
          <t>BKK27</t>
        </is>
      </c>
      <c r="B121" s="1" t="inlineStr">
        <is>
          <t>22RE</t>
        </is>
      </c>
      <c r="C121" s="1" t="inlineStr">
        <is>
          <t>IER</t>
        </is>
      </c>
    </row>
    <row r="122" ht="13" customHeight="1">
      <c r="A122" s="1" t="inlineStr">
        <is>
          <t>LCH27</t>
        </is>
      </c>
      <c r="B122" s="1" t="inlineStr">
        <is>
          <t>45RE</t>
        </is>
      </c>
      <c r="C122" s="1" t="inlineStr">
        <is>
          <t>IER</t>
        </is>
      </c>
    </row>
    <row r="123" ht="13" customHeight="1">
      <c r="A123" s="1" t="inlineStr">
        <is>
          <t>LCH27</t>
        </is>
      </c>
      <c r="B123" s="1" t="inlineStr">
        <is>
          <t>45RE</t>
        </is>
      </c>
      <c r="C123" s="1" t="inlineStr">
        <is>
          <t>IER</t>
        </is>
      </c>
    </row>
    <row r="124" ht="13" customHeight="1">
      <c r="A124" s="1" t="inlineStr">
        <is>
          <t>BKK27</t>
        </is>
      </c>
      <c r="B124" s="1" t="inlineStr">
        <is>
          <t>22RE</t>
        </is>
      </c>
      <c r="C124" s="1" t="inlineStr">
        <is>
          <t>IER</t>
        </is>
      </c>
    </row>
    <row r="125" ht="13" customHeight="1">
      <c r="A125" s="1" t="inlineStr">
        <is>
          <t>BKK27</t>
        </is>
      </c>
      <c r="B125" s="1" t="inlineStr">
        <is>
          <t>45RE</t>
        </is>
      </c>
      <c r="C125" s="1" t="inlineStr">
        <is>
          <t>IER</t>
        </is>
      </c>
    </row>
    <row r="126" ht="13" customHeight="1">
      <c r="A126" s="1" t="inlineStr">
        <is>
          <t>BKK27</t>
        </is>
      </c>
      <c r="B126" s="1" t="inlineStr">
        <is>
          <t>45RE</t>
        </is>
      </c>
      <c r="C126" s="1" t="inlineStr">
        <is>
          <t>IER</t>
        </is>
      </c>
    </row>
    <row r="127" ht="13" customHeight="1">
      <c r="A127" s="1" t="inlineStr">
        <is>
          <t>LCH27</t>
        </is>
      </c>
      <c r="B127" s="1" t="inlineStr">
        <is>
          <t>45RE</t>
        </is>
      </c>
      <c r="C127" s="1" t="inlineStr">
        <is>
          <t>IER</t>
        </is>
      </c>
    </row>
    <row r="128" ht="13" customHeight="1">
      <c r="A128" s="1" t="inlineStr">
        <is>
          <t>LCH27</t>
        </is>
      </c>
      <c r="B128" s="1" t="inlineStr">
        <is>
          <t>45RE</t>
        </is>
      </c>
      <c r="C128" s="1" t="inlineStr">
        <is>
          <t>IER</t>
        </is>
      </c>
    </row>
    <row r="129" ht="13" customHeight="1">
      <c r="A129" s="1" t="inlineStr">
        <is>
          <t>LCH27</t>
        </is>
      </c>
      <c r="B129" s="1" t="inlineStr">
        <is>
          <t>22RE</t>
        </is>
      </c>
      <c r="C129" s="1" t="inlineStr">
        <is>
          <t>IER</t>
        </is>
      </c>
    </row>
    <row r="130" ht="13" customHeight="1">
      <c r="A130" s="1" t="inlineStr">
        <is>
          <t>LCH27</t>
        </is>
      </c>
      <c r="B130" s="1" t="inlineStr">
        <is>
          <t>45RE</t>
        </is>
      </c>
      <c r="C130" s="1" t="inlineStr">
        <is>
          <t>IER</t>
        </is>
      </c>
    </row>
    <row r="131" ht="13" customHeight="1">
      <c r="A131" s="1" t="inlineStr">
        <is>
          <t>LCH27</t>
        </is>
      </c>
      <c r="B131" s="1" t="inlineStr">
        <is>
          <t>45RE</t>
        </is>
      </c>
      <c r="C131" s="1" t="inlineStr">
        <is>
          <t>IER</t>
        </is>
      </c>
    </row>
    <row r="132" ht="13" customHeight="1">
      <c r="A132" s="1" t="inlineStr">
        <is>
          <t>BKK27</t>
        </is>
      </c>
      <c r="B132" s="1" t="inlineStr">
        <is>
          <t>45RE</t>
        </is>
      </c>
      <c r="C132" s="1" t="inlineStr">
        <is>
          <t>IED</t>
        </is>
      </c>
    </row>
    <row r="133" ht="13" customHeight="1">
      <c r="A133" s="1" t="inlineStr">
        <is>
          <t>BKK27</t>
        </is>
      </c>
      <c r="B133" s="1" t="inlineStr">
        <is>
          <t>45RE</t>
        </is>
      </c>
      <c r="C133" s="1" t="inlineStr">
        <is>
          <t>IED</t>
        </is>
      </c>
    </row>
    <row r="134" ht="13" customHeight="1">
      <c r="A134" s="1" t="inlineStr">
        <is>
          <t>BKK27</t>
        </is>
      </c>
      <c r="B134" s="1" t="inlineStr">
        <is>
          <t>45RE</t>
        </is>
      </c>
      <c r="C134" s="1" t="inlineStr">
        <is>
          <t>IED</t>
        </is>
      </c>
    </row>
    <row r="135" ht="13" customHeight="1">
      <c r="A135" s="1" t="inlineStr">
        <is>
          <t>BKK27</t>
        </is>
      </c>
      <c r="B135" s="1" t="inlineStr">
        <is>
          <t>22RE</t>
        </is>
      </c>
      <c r="C135" s="1" t="inlineStr">
        <is>
          <t>IED</t>
        </is>
      </c>
    </row>
    <row r="136" ht="13" customHeight="1">
      <c r="A136" s="1" t="inlineStr">
        <is>
          <t>BKK27</t>
        </is>
      </c>
      <c r="B136" s="1" t="inlineStr">
        <is>
          <t>45RE</t>
        </is>
      </c>
      <c r="C136" s="1" t="inlineStr">
        <is>
          <t>IED</t>
        </is>
      </c>
    </row>
    <row r="137" ht="13" customHeight="1">
      <c r="A137" s="1" t="inlineStr">
        <is>
          <t>BKK27</t>
        </is>
      </c>
      <c r="B137" s="1" t="inlineStr">
        <is>
          <t>45RE</t>
        </is>
      </c>
      <c r="C137" s="1" t="inlineStr">
        <is>
          <t>IED</t>
        </is>
      </c>
    </row>
    <row r="138" ht="13" customHeight="1">
      <c r="A138" s="1" t="inlineStr">
        <is>
          <t>BKK27</t>
        </is>
      </c>
      <c r="B138" s="1" t="inlineStr">
        <is>
          <t>45RE</t>
        </is>
      </c>
      <c r="C138" s="1" t="inlineStr">
        <is>
          <t>IED</t>
        </is>
      </c>
    </row>
    <row r="139" ht="13" customHeight="1">
      <c r="A139" s="1" t="inlineStr">
        <is>
          <t>BKK27</t>
        </is>
      </c>
      <c r="B139" s="1" t="inlineStr">
        <is>
          <t>45RE</t>
        </is>
      </c>
      <c r="C139" s="1" t="inlineStr">
        <is>
          <t>IED</t>
        </is>
      </c>
    </row>
    <row r="140" ht="13" customHeight="1">
      <c r="A140" s="1" t="inlineStr">
        <is>
          <t>BKK27</t>
        </is>
      </c>
      <c r="B140" s="1" t="inlineStr">
        <is>
          <t>45RE</t>
        </is>
      </c>
      <c r="C140" s="1" t="inlineStr">
        <is>
          <t>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3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71428571428571" customWidth="1" min="1" max="1"/>
    <col width="23.57142857142857" customWidth="1" min="2" max="2"/>
    <col width="8.714285714285714" customWidth="1" min="3" max="3"/>
    <col width="8.714285714285714" customWidth="1" min="4" max="4"/>
    <col width="8.714285714285714" customWidth="1" min="5" max="5"/>
    <col width="8.714285714285714" customWidth="1" min="6" max="6"/>
    <col width="4.571428571428571" customWidth="1" min="7" max="7"/>
    <col width="23.57142857142857" customWidth="1" min="8" max="8"/>
    <col width="8.714285714285714" customWidth="1" min="9" max="9"/>
    <col width="8.714285714285714" customWidth="1" min="10" max="10"/>
    <col width="8.714285714285714" customWidth="1" min="11" max="11"/>
    <col width="8.714285714285714" customWidth="1" min="12" max="12"/>
    <col width="8.714285714285714" customWidth="1" min="13" max="13"/>
    <col width="8.714285714285714" customWidth="1" min="14" max="14"/>
    <col width="8.714285714285714" customWidth="1" min="15" max="15"/>
    <col width="8.714285714285714" customWidth="1" min="16" max="16"/>
    <col width="8.714285714285714" customWidth="1" min="17" max="17"/>
  </cols>
  <sheetData>
    <row r="1" ht="20.1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8" t="n"/>
      <c r="L1" s="1" t="n"/>
      <c r="M1" s="1" t="n"/>
      <c r="N1" s="1" t="n"/>
      <c r="O1" s="1" t="n"/>
    </row>
    <row r="2" ht="13" customHeight="1">
      <c r="A2" s="1" t="n"/>
      <c r="B2" s="4" t="n"/>
      <c r="C2" s="4" t="n"/>
      <c r="D2" s="4" t="n"/>
      <c r="E2" s="1" t="n"/>
      <c r="F2" s="1" t="n"/>
      <c r="G2" s="1" t="n"/>
      <c r="H2" s="4" t="n"/>
      <c r="I2" s="4" t="n"/>
      <c r="J2" s="4" t="n"/>
      <c r="K2" s="1" t="n"/>
      <c r="L2" s="1" t="n"/>
      <c r="M2" s="1" t="n"/>
      <c r="N2" s="1" t="n"/>
      <c r="O2" s="1" t="n"/>
    </row>
    <row r="3" ht="13" customHeight="1">
      <c r="A3" s="1" t="n"/>
      <c r="B3" s="5" t="inlineStr">
        <is>
          <t>BKK27 / BC2</t>
        </is>
      </c>
      <c r="C3" s="57" t="n"/>
      <c r="D3" s="58" t="n"/>
      <c r="E3" s="1" t="n"/>
      <c r="F3" s="1" t="n"/>
      <c r="G3" s="1" t="n"/>
      <c r="H3" s="5" t="inlineStr">
        <is>
          <t>LCH27 / HAST</t>
        </is>
      </c>
      <c r="I3" s="57" t="n"/>
      <c r="J3" s="58" t="n"/>
      <c r="K3" s="1" t="n"/>
      <c r="L3" s="1" t="n"/>
      <c r="M3" s="6" t="inlineStr">
        <is>
          <t>STOCK</t>
        </is>
      </c>
      <c r="N3" s="7" t="inlineStr">
        <is>
          <t>22RE</t>
        </is>
      </c>
      <c r="O3" s="7" t="inlineStr">
        <is>
          <t>45RE</t>
        </is>
      </c>
    </row>
    <row r="4" ht="13" customHeight="1">
      <c r="A4" s="8" t="inlineStr">
        <is>
          <t>WK</t>
        </is>
      </c>
      <c r="B4" s="5" t="n"/>
      <c r="C4" s="5" t="inlineStr">
        <is>
          <t>20'RE</t>
        </is>
      </c>
      <c r="D4" s="5" t="inlineStr">
        <is>
          <t>40'RH</t>
        </is>
      </c>
      <c r="E4" s="1" t="n"/>
      <c r="F4" s="1" t="n"/>
      <c r="G4" s="8" t="inlineStr">
        <is>
          <t>WK</t>
        </is>
      </c>
      <c r="H4" s="5" t="n"/>
      <c r="I4" s="5" t="inlineStr">
        <is>
          <t>20'RE</t>
        </is>
      </c>
      <c r="J4" s="5" t="inlineStr">
        <is>
          <t>40'RH</t>
        </is>
      </c>
      <c r="K4" s="1" t="n"/>
      <c r="L4" s="1" t="n"/>
      <c r="M4" s="9" t="inlineStr">
        <is>
          <t>BC</t>
        </is>
      </c>
      <c r="N4" s="10">
        <f>C5</f>
        <v/>
      </c>
      <c r="O4" s="10">
        <f>D5</f>
        <v/>
      </c>
    </row>
    <row r="5" ht="13" customHeight="1">
      <c r="A5" s="11" t="n"/>
      <c r="B5" s="12" t="inlineStr">
        <is>
          <t>Stock empty in yard</t>
        </is>
      </c>
      <c r="C5" s="13" t="n">
        <v>37</v>
      </c>
      <c r="D5" s="13" t="n">
        <v>34</v>
      </c>
      <c r="E5" s="1" t="n"/>
      <c r="F5" s="1" t="n"/>
      <c r="G5" s="11" t="n"/>
      <c r="H5" s="12" t="inlineStr">
        <is>
          <t>Stock empty in yard</t>
        </is>
      </c>
      <c r="I5" s="13" t="n">
        <v>12</v>
      </c>
      <c r="J5" s="13" t="n">
        <v>56</v>
      </c>
      <c r="K5" s="1" t="n"/>
      <c r="L5" s="1" t="n"/>
      <c r="M5" s="9" t="inlineStr">
        <is>
          <t>HAST</t>
        </is>
      </c>
      <c r="N5" s="10">
        <f>I5</f>
        <v/>
      </c>
      <c r="O5" s="10">
        <f>J5</f>
        <v/>
      </c>
    </row>
    <row r="6" ht="13" customHeight="1">
      <c r="A6" s="14">
        <f>Control!$A$4</f>
        <v/>
      </c>
      <c r="B6" s="9" t="inlineStr">
        <is>
          <t>Booking Pending pick up</t>
        </is>
      </c>
      <c r="C6" s="9">
        <f>SUMIFS(BookingRaw!$C$2:$C$8000,BookingRaw!$A$2:$A$8000,"BKK27",BookingRaw!$B$2:$B$8000,"&lt;"&amp;Control!$B$1)</f>
        <v/>
      </c>
      <c r="D6" s="9">
        <f>SUMIFS(BookingRaw!$D$2:$D$8000,BookingRaw!$A$2:$A$8000,"BKK27",BookingRaw!$B$2:$B$8000,"&lt;"&amp;Control!$B$1)</f>
        <v/>
      </c>
      <c r="E6" s="1" t="n"/>
      <c r="F6" s="1" t="n"/>
      <c r="G6" s="14">
        <f>Control!$A$4</f>
        <v/>
      </c>
      <c r="H6" s="9" t="inlineStr">
        <is>
          <t>Booking Pending pick up</t>
        </is>
      </c>
      <c r="I6" s="9">
        <f>SUMIFS(BookingRaw!$C$2:$C$8000,BookingRaw!$A$2:$A$8000,"LCH27",BookingRaw!$B$2:$B$8000,"&lt;"&amp;Control!$B$1)</f>
        <v/>
      </c>
      <c r="J6" s="9">
        <f>SUMIFS(BookingRaw!$D$2:$D$8000,BookingRaw!$A$2:$A$8000,"LCH27",BookingRaw!$B$2:$B$8000,"&lt;"&amp;Control!$B$1)</f>
        <v/>
      </c>
      <c r="K6" s="1" t="n"/>
      <c r="L6" s="1" t="n"/>
      <c r="M6" s="15" t="inlineStr">
        <is>
          <t>TOTAL</t>
        </is>
      </c>
      <c r="N6" s="7">
        <f>SUM(N4:N5)</f>
        <v/>
      </c>
      <c r="O6" s="7">
        <f>SUM(O4:O5)</f>
        <v/>
      </c>
    </row>
    <row r="7" ht="13" customHeight="1">
      <c r="A7" s="14">
        <f>Control!$A$4</f>
        <v/>
      </c>
      <c r="B7" s="9">
        <f>"Booking on "&amp;DAY(Control!$B$1)&amp;" "&amp;CHOOSE(MONTH(Control!$B$1),"JAN","FEB","MAR","APR","MAY","JUN","JUL","AUG","SEP","OCT","NOV","DEC")</f>
        <v/>
      </c>
      <c r="C7" s="9">
        <f>SUMIFS(BookingRaw!$C$2:$C$8000,BookingRaw!$A$2:$A$8000,"BKK27",BookingRaw!$B$2:$B$8000,"="&amp;Control!$B$1)</f>
        <v/>
      </c>
      <c r="D7" s="9">
        <f>SUMIFS(BookingRaw!$D$2:$D$8000,BookingRaw!$A$2:$A$8000,"BKK27",BookingRaw!$B$2:$B$8000,"="&amp;Control!$B$1)</f>
        <v/>
      </c>
      <c r="E7" s="1" t="n"/>
      <c r="F7" s="1" t="n"/>
      <c r="G7" s="14">
        <f>Control!$A$4</f>
        <v/>
      </c>
      <c r="H7" s="9">
        <f>"Booking on "&amp;DAY(Control!$B$1)&amp;" "&amp;CHOOSE(MONTH(Control!$B$1),"JAN","FEB","MAR","APR","MAY","JUN","JUL","AUG","SEP","OCT","NOV","DEC")</f>
        <v/>
      </c>
      <c r="I7" s="9">
        <f>SUMIFS(BookingRaw!$C$2:$C$8000,BookingRaw!$A$2:$A$8000,"LCH27",BookingRaw!$B$2:$B$8000,"="&amp;Control!$B$1)</f>
        <v/>
      </c>
      <c r="J7" s="9">
        <f>SUMIFS(BookingRaw!$D$2:$D$8000,BookingRaw!$A$2:$A$8000,"LCH27",BookingRaw!$B$2:$B$8000,"="&amp;Control!$B$1)</f>
        <v/>
      </c>
      <c r="K7" s="1" t="n"/>
      <c r="L7" s="1" t="n"/>
      <c r="M7" s="1" t="n"/>
      <c r="N7" s="1" t="n"/>
      <c r="O7" s="1" t="n"/>
    </row>
    <row r="8" ht="13" customHeight="1">
      <c r="A8" s="14">
        <f>Control!$A$4</f>
        <v/>
      </c>
      <c r="B8" s="9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8" s="9">
        <f>SUMIFS(BookingRaw!$C$2:$C$8000,BookingRaw!$A$2:$A$8000,"BKK27",BookingRaw!$B$2:$B$8000,"&gt;="&amp;Control!$B$9,BookingRaw!$B$2:$B$8000,"&lt;="&amp;Control!$C$4)</f>
        <v/>
      </c>
      <c r="D8" s="9">
        <f>SUMIFS(BookingRaw!$D$2:$D$8000,BookingRaw!$A$2:$A$8000,"BKK27",BookingRaw!$B$2:$B$8000,"&gt;="&amp;Control!$B$9,BookingRaw!$B$2:$B$8000,"&lt;="&amp;Control!$C$4)</f>
        <v/>
      </c>
      <c r="E8" s="1" t="n"/>
      <c r="F8" s="1" t="n"/>
      <c r="G8" s="14">
        <f>Control!$A$4</f>
        <v/>
      </c>
      <c r="H8" s="9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8" s="9">
        <f>SUMIFS(BookingRaw!$C$2:$C$8000,BookingRaw!$A$2:$A$8000,"LCH27",BookingRaw!$B$2:$B$8000,"&gt;="&amp;Control!$B$9,BookingRaw!$B$2:$B$8000,"&lt;="&amp;Control!$C$4)</f>
        <v/>
      </c>
      <c r="J8" s="9">
        <f>SUMIFS(BookingRaw!$D$2:$D$8000,BookingRaw!$A$2:$A$8000,"LCH27",BookingRaw!$B$2:$B$8000,"&gt;="&amp;Control!$B$9,BookingRaw!$B$2:$B$8000,"&lt;="&amp;Control!$C$4)</f>
        <v/>
      </c>
      <c r="K8" s="1" t="n"/>
      <c r="L8" s="1" t="n"/>
      <c r="M8" s="6" t="inlineStr">
        <is>
          <t>BOOKING</t>
        </is>
      </c>
      <c r="N8" s="7" t="inlineStr">
        <is>
          <t>22RE</t>
        </is>
      </c>
      <c r="O8" s="7" t="inlineStr">
        <is>
          <t>45RE</t>
        </is>
      </c>
    </row>
    <row r="9" ht="13" customHeight="1">
      <c r="A9" s="11" t="n"/>
      <c r="B9" s="16">
        <f>"AV Balance till "&amp;DAY(Control!$C$4)&amp;" "&amp;CHOOSE(MONTH(Control!$C$4),"JAN","FEB","MAR","APR","MAY","JUN","JUL","AUG","SEP","OCT","NOV","DEC")</f>
        <v/>
      </c>
      <c r="C9" s="59">
        <f>C5-C6-C7-C8</f>
        <v/>
      </c>
      <c r="D9" s="60">
        <f>D5-D6-D7-D8</f>
        <v/>
      </c>
      <c r="E9" s="1" t="n"/>
      <c r="F9" s="1" t="n"/>
      <c r="G9" s="11" t="n"/>
      <c r="H9" s="16">
        <f>"AV Balance till "&amp;DAY(Control!$C$4)&amp;" "&amp;CHOOSE(MONTH(Control!$C$4),"JAN","FEB","MAR","APR","MAY","JUN","JUL","AUG","SEP","OCT","NOV","DEC")</f>
        <v/>
      </c>
      <c r="I9" s="59">
        <f>I5-I6-I7-I8</f>
        <v/>
      </c>
      <c r="J9" s="59">
        <f>J5-J6-J7-J8</f>
        <v/>
      </c>
      <c r="K9" s="1" t="n"/>
      <c r="L9" s="1" t="n"/>
      <c r="M9" s="9" t="inlineStr">
        <is>
          <t>BC</t>
        </is>
      </c>
      <c r="N9" s="10">
        <f>C6+C7+C8+C11+C14</f>
        <v/>
      </c>
      <c r="O9" s="10">
        <f>D6+D7+D8+D11+D14</f>
        <v/>
      </c>
    </row>
    <row r="10" ht="13" customHeight="1">
      <c r="A10" s="11" t="n"/>
      <c r="B10" s="9" t="n"/>
      <c r="C10" s="9" t="n"/>
      <c r="D10" s="9" t="n"/>
      <c r="E10" s="1" t="n"/>
      <c r="F10" s="1" t="n"/>
      <c r="G10" s="11" t="n"/>
      <c r="H10" s="9" t="n"/>
      <c r="I10" s="9" t="n"/>
      <c r="J10" s="9" t="n"/>
      <c r="K10" s="1" t="n"/>
      <c r="L10" s="1" t="n"/>
      <c r="M10" s="9" t="inlineStr">
        <is>
          <t>HAST</t>
        </is>
      </c>
      <c r="N10" s="10">
        <f>I6+I7+I8+I11+I14</f>
        <v/>
      </c>
      <c r="O10" s="10">
        <f>J6+J7+J8+J11+J14</f>
        <v/>
      </c>
    </row>
    <row r="11" ht="13" customHeight="1">
      <c r="A11" s="14">
        <f>Control!$A$5</f>
        <v/>
      </c>
      <c r="B11" s="9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11" s="9">
        <f>SUMIFS(BookingRaw!$C$2:$C$8000,BookingRaw!$A$2:$A$8000,"BKK27",BookingRaw!$B$2:$B$8000,"&gt;="&amp;Control!$B5,BookingRaw!$B$2:$B$8000,"&lt;="&amp;Control!$C5)</f>
        <v/>
      </c>
      <c r="D11" s="9">
        <f>SUMIFS(BookingRaw!$D$2:$D$8000,BookingRaw!$A$2:$A$8000,"BKK27",BookingRaw!$B$2:$B$8000,"&gt;="&amp;Control!$B5,BookingRaw!$B$2:$B$8000,"&lt;="&amp;Control!$C5)</f>
        <v/>
      </c>
      <c r="E11" s="1" t="n"/>
      <c r="F11" s="1" t="n"/>
      <c r="G11" s="14">
        <f>Control!$A$5</f>
        <v/>
      </c>
      <c r="H11" s="9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11" s="9">
        <f>SUMIFS(BookingRaw!$C$2:$C$8000,BookingRaw!$A$2:$A$8000,"LCH27",BookingRaw!$B$2:$B$8000,"&gt;="&amp;Control!$B5,BookingRaw!$B$2:$B$8000,"&lt;="&amp;Control!$C5)</f>
        <v/>
      </c>
      <c r="J11" s="9">
        <f>SUMIFS(BookingRaw!$D$2:$D$8000,BookingRaw!$A$2:$A$8000,"LCH27",BookingRaw!$B$2:$B$8000,"&gt;="&amp;Control!$B5,BookingRaw!$B$2:$B$8000,"&lt;="&amp;Control!$C5)</f>
        <v/>
      </c>
      <c r="K11" s="1" t="n"/>
      <c r="L11" s="1" t="n"/>
      <c r="M11" s="15" t="inlineStr">
        <is>
          <t>TOTAL</t>
        </is>
      </c>
      <c r="N11" s="7">
        <f>SUM(N9:N10)</f>
        <v/>
      </c>
      <c r="O11" s="7">
        <f>SUM(O9:O10)</f>
        <v/>
      </c>
    </row>
    <row r="12" ht="13" customHeight="1">
      <c r="A12" s="11" t="n"/>
      <c r="B12" s="16">
        <f>"AV Balance till "&amp;DAY(Control!$C5)&amp;" "&amp;CHOOSE(MONTH(Control!$C5),"JAN","FEB","MAR","APR","MAY","JUN","JUL","AUG","SEP","OCT","NOV","DEC")</f>
        <v/>
      </c>
      <c r="C12" s="59">
        <f>C9-C11</f>
        <v/>
      </c>
      <c r="D12" s="60">
        <f>D9-D11</f>
        <v/>
      </c>
      <c r="E12" s="1" t="n"/>
      <c r="F12" s="1" t="n"/>
      <c r="G12" s="11" t="n"/>
      <c r="H12" s="16">
        <f>"AV Balance till "&amp;DAY(Control!$C5)&amp;" "&amp;CHOOSE(MONTH(Control!$C5),"JAN","FEB","MAR","APR","MAY","JUN","JUL","AUG","SEP","OCT","NOV","DEC")</f>
        <v/>
      </c>
      <c r="I12" s="59">
        <f>I9-I11</f>
        <v/>
      </c>
      <c r="J12" s="59">
        <f>J9-J11</f>
        <v/>
      </c>
      <c r="K12" s="1" t="n"/>
      <c r="L12" s="1" t="n"/>
      <c r="M12" s="1" t="n"/>
      <c r="N12" s="1" t="n"/>
      <c r="O12" s="1" t="n"/>
    </row>
    <row r="13" ht="13" customHeight="1">
      <c r="A13" s="11" t="n"/>
      <c r="B13" s="9" t="n"/>
      <c r="C13" s="9" t="n"/>
      <c r="D13" s="9" t="n"/>
      <c r="E13" s="1" t="n"/>
      <c r="F13" s="1" t="n"/>
      <c r="G13" s="11" t="n"/>
      <c r="H13" s="9" t="n"/>
      <c r="I13" s="9" t="n"/>
      <c r="J13" s="9" t="n"/>
      <c r="K13" s="1" t="n"/>
      <c r="L13" s="1" t="n"/>
      <c r="M13" s="6" t="inlineStr">
        <is>
          <t>BALANCE</t>
        </is>
      </c>
      <c r="N13" s="7" t="inlineStr">
        <is>
          <t>22RE</t>
        </is>
      </c>
      <c r="O13" s="7" t="inlineStr">
        <is>
          <t>45RE</t>
        </is>
      </c>
    </row>
    <row r="14" ht="13" customHeight="1">
      <c r="A14" s="14">
        <f>Control!$A$6</f>
        <v/>
      </c>
      <c r="B14" s="9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4" s="9">
        <f>SUMIFS(BookingRaw!$C$2:$C$8000,BookingRaw!$A$2:$A$8000,"BKK27",BookingRaw!$B$2:$B$8000,"&gt;="&amp;Control!$B6,BookingRaw!$B$2:$B$8000,"&lt;="&amp;DATE(2026,11,7))</f>
        <v/>
      </c>
      <c r="D14" s="9">
        <f>SUMIFS(BookingRaw!$D$2:$D$8000,BookingRaw!$A$2:$A$8000,"BKK27",BookingRaw!$B$2:$B$8000,"&gt;="&amp;Control!$B6,BookingRaw!$B$2:$B$8000,"&lt;="&amp;DATE(2026,11,7))</f>
        <v/>
      </c>
      <c r="E14" s="1" t="n"/>
      <c r="F14" s="1" t="n"/>
      <c r="G14" s="14">
        <f>Control!$A$6</f>
        <v/>
      </c>
      <c r="H14" s="9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4" s="9">
        <f>SUMIFS(BookingRaw!$C$2:$C$8000,BookingRaw!$A$2:$A$8000,"LCH27",BookingRaw!$B$2:$B$8000,"&gt;="&amp;Control!$B6,BookingRaw!$B$2:$B$8000,"&lt;="&amp;DATE(2026,11,7))</f>
        <v/>
      </c>
      <c r="J14" s="9">
        <f>SUMIFS(BookingRaw!$D$2:$D$8000,BookingRaw!$A$2:$A$8000,"LCH27",BookingRaw!$B$2:$B$8000,"&gt;="&amp;Control!$B6,BookingRaw!$B$2:$B$8000,"&lt;="&amp;DATE(2026,11,7))</f>
        <v/>
      </c>
      <c r="K14" s="1" t="n"/>
      <c r="L14" s="1" t="n"/>
      <c r="M14" s="9" t="inlineStr">
        <is>
          <t>BC</t>
        </is>
      </c>
      <c r="N14" s="10">
        <f>C15</f>
        <v/>
      </c>
      <c r="O14" s="10">
        <f>D15</f>
        <v/>
      </c>
    </row>
    <row r="15" ht="13" customHeight="1">
      <c r="A15" s="11" t="n"/>
      <c r="B15" s="16">
        <f>"AV Balance till "&amp;DAY(Control!$C6)&amp;" "&amp;CHOOSE(MONTH(Control!$C6),"JAN","FEB","MAR","APR","MAY","JUN","JUL","AUG","SEP","OCT","NOV","DEC")</f>
        <v/>
      </c>
      <c r="C15" s="59">
        <f>C12-C14</f>
        <v/>
      </c>
      <c r="D15" s="60">
        <f>D12-D14</f>
        <v/>
      </c>
      <c r="E15" s="1" t="n"/>
      <c r="F15" s="1" t="n"/>
      <c r="G15" s="11" t="n"/>
      <c r="H15" s="16">
        <f>"AV Balance till "&amp;DAY(Control!$C6)&amp;" "&amp;CHOOSE(MONTH(Control!$C6),"JAN","FEB","MAR","APR","MAY","JUN","JUL","AUG","SEP","OCT","NOV","DEC")</f>
        <v/>
      </c>
      <c r="I15" s="59">
        <f>I12-I14</f>
        <v/>
      </c>
      <c r="J15" s="59">
        <f>J12-J14</f>
        <v/>
      </c>
      <c r="K15" s="1" t="n"/>
      <c r="L15" s="1" t="n"/>
      <c r="M15" s="9" t="inlineStr">
        <is>
          <t>HAST</t>
        </is>
      </c>
      <c r="N15" s="10">
        <f>I15</f>
        <v/>
      </c>
      <c r="O15" s="10">
        <f>J15</f>
        <v/>
      </c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5" t="inlineStr">
        <is>
          <t>TOTAL</t>
        </is>
      </c>
      <c r="N16" s="7">
        <f>SUM(N14:N15)</f>
        <v/>
      </c>
      <c r="O16" s="7">
        <f>SUM(O14:O15)</f>
        <v/>
      </c>
    </row>
    <row r="17" ht="13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 ht="13" customHeight="1">
      <c r="A18" s="1" t="n"/>
      <c r="B18" s="5" t="inlineStr">
        <is>
          <t>BKK27 / BC2</t>
        </is>
      </c>
      <c r="C18" s="7" t="inlineStr">
        <is>
          <t>20'RE</t>
        </is>
      </c>
      <c r="D18" s="7" t="inlineStr">
        <is>
          <t>40'RH</t>
        </is>
      </c>
      <c r="E18" s="1" t="n"/>
      <c r="F18" s="1" t="n"/>
      <c r="G18" s="1" t="n"/>
      <c r="H18" s="5" t="inlineStr">
        <is>
          <t>LCH27 / HAST</t>
        </is>
      </c>
      <c r="I18" s="7" t="inlineStr">
        <is>
          <t>20'RE</t>
        </is>
      </c>
      <c r="J18" s="7" t="inlineStr">
        <is>
          <t>40'RH</t>
        </is>
      </c>
      <c r="K18" s="1" t="n"/>
      <c r="L18" s="1" t="n"/>
      <c r="M18" s="1" t="n"/>
      <c r="N18" s="1" t="n"/>
      <c r="O18" s="1" t="n"/>
    </row>
    <row r="19" ht="13" customHeight="1">
      <c r="A19" s="1" t="n"/>
      <c r="B19" s="14" t="inlineStr">
        <is>
          <t>AV</t>
        </is>
      </c>
      <c r="C19" s="10">
        <f>COUNTIFS(StockRaw!$A$2:$A$140,"BKK27",StockRaw!$B$2:$B$140,"22RE",StockRaw!$C$2:$C$140,"IED")+COUNTIFS(StockRaw!$A$2:$A$140,"BKK27",StockRaw!$B$2:$B$140,"22RE",StockRaw!$C$2:$C$140,"IEP")+COUNTIFS(StockRaw!$A$2:$A$140,"BKK27",StockRaw!$B$2:$B$140,"22RE",StockRaw!$C$2:$C$140,"IER")</f>
        <v/>
      </c>
      <c r="D19" s="10">
        <f>COUNTIFS(StockRaw!$A$2:$A$140,"BKK27",StockRaw!$B$2:$B$140,"45RE",StockRaw!$C$2:$C$140,"IED")+COUNTIFS(StockRaw!$A$2:$A$140,"BKK27",StockRaw!$B$2:$B$140,"45RE",StockRaw!$C$2:$C$140,"IEP")+COUNTIFS(StockRaw!$A$2:$A$140,"BKK27",StockRaw!$B$2:$B$140,"45RE",StockRaw!$C$2:$C$140,"IER")</f>
        <v/>
      </c>
      <c r="E19" s="1" t="n"/>
      <c r="F19" s="1" t="n"/>
      <c r="G19" s="1" t="n"/>
      <c r="H19" s="14" t="inlineStr">
        <is>
          <t>AV</t>
        </is>
      </c>
      <c r="I19" s="10">
        <f>COUNTIFS(StockRaw!$A$2:$A$140,"LCH27",StockRaw!$B$2:$B$140,"22RE",StockRaw!$C$2:$C$140,"IED")+COUNTIFS(StockRaw!$A$2:$A$140,"LCH27",StockRaw!$B$2:$B$140,"22RE",StockRaw!$C$2:$C$140,"IEP")+COUNTIFS(StockRaw!$A$2:$A$140,"LCH27",StockRaw!$B$2:$B$140,"22RE",StockRaw!$C$2:$C$140,"IER")</f>
        <v/>
      </c>
      <c r="J19" s="10">
        <f>COUNTIFS(StockRaw!$A$2:$A$140,"LCH27",StockRaw!$B$2:$B$140,"45RE",StockRaw!$C$2:$C$140,"IED")+COUNTIFS(StockRaw!$A$2:$A$140,"LCH27",StockRaw!$B$2:$B$140,"45RE",StockRaw!$C$2:$C$140,"IEP")+COUNTIFS(StockRaw!$A$2:$A$140,"LCH27",StockRaw!$B$2:$B$140,"45RE",StockRaw!$C$2:$C$140,"IER")</f>
        <v/>
      </c>
      <c r="K19" s="1" t="n"/>
      <c r="L19" s="1" t="n"/>
      <c r="M19" s="1" t="n"/>
      <c r="N19" s="1" t="n"/>
      <c r="O19" s="1" t="n"/>
    </row>
    <row r="20" ht="13" customHeight="1">
      <c r="A20" s="1" t="n"/>
      <c r="B20" s="14" t="inlineStr">
        <is>
          <t>DMG</t>
        </is>
      </c>
      <c r="C20" s="10">
        <f>COUNTIFS(StockRaw!$A$2:$A$140,"BKK27",StockRaw!$B$2:$B$140,"22RE",StockRaw!$C$2:$C$140,"OER")</f>
        <v/>
      </c>
      <c r="D20" s="10">
        <f>COUNTIFS(StockRaw!$A$2:$A$140,"BKK27",StockRaw!$B$2:$B$140,"45RE",StockRaw!$C$2:$C$140,"OER")</f>
        <v/>
      </c>
      <c r="E20" s="1" t="n"/>
      <c r="F20" s="1" t="n"/>
      <c r="G20" s="1" t="n"/>
      <c r="H20" s="14" t="inlineStr">
        <is>
          <t>DMG</t>
        </is>
      </c>
      <c r="I20" s="10">
        <f>COUNTIFS(StockRaw!$A$2:$A$140,"LCH27",StockRaw!$B$2:$B$140,"22RE",StockRaw!$C$2:$C$140,"OER")</f>
        <v/>
      </c>
      <c r="J20" s="10">
        <f>COUNTIFS(StockRaw!$A$2:$A$140,"LCH27",StockRaw!$B$2:$B$140,"45RE",StockRaw!$C$2:$C$140,"OER")</f>
        <v/>
      </c>
      <c r="K20" s="1" t="n"/>
      <c r="L20" s="1" t="n"/>
      <c r="M20" s="1" t="n"/>
      <c r="N20" s="1" t="n"/>
      <c r="O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13" customHeight="1">
      <c r="A23" s="1" t="n"/>
      <c r="B23" s="18" t="inlineStr">
        <is>
          <t>BKK / BC2 (BKK27)</t>
        </is>
      </c>
      <c r="C23" s="57" t="n"/>
      <c r="D23" s="57" t="n"/>
      <c r="E23" s="58" t="n"/>
      <c r="F23" s="1" t="n"/>
      <c r="G23" s="1" t="n"/>
      <c r="H23" s="18" t="inlineStr">
        <is>
          <t>LCH / HAST (LCH27)</t>
        </is>
      </c>
      <c r="I23" s="57" t="n"/>
      <c r="J23" s="57" t="n"/>
      <c r="K23" s="58" t="n"/>
      <c r="L23" s="1" t="n"/>
      <c r="M23" s="1" t="n"/>
      <c r="N23" s="1" t="n"/>
      <c r="O23" s="1" t="n"/>
    </row>
    <row r="24" ht="13" customHeight="1">
      <c r="A24" s="1" t="n"/>
      <c r="B24" s="19" t="inlineStr">
        <is>
          <t>YEAR BUILT 5 YEARS
FOR DURIAN SEASON</t>
        </is>
      </c>
      <c r="C24" s="5" t="inlineStr">
        <is>
          <t>CARRIER</t>
        </is>
      </c>
      <c r="D24" s="5" t="inlineStr">
        <is>
          <t>DAIKIN</t>
        </is>
      </c>
      <c r="E24" s="5" t="inlineStr">
        <is>
          <t>THERMO KING</t>
        </is>
      </c>
      <c r="F24" s="1" t="n"/>
      <c r="G24" s="1" t="n"/>
      <c r="H24" s="19" t="inlineStr">
        <is>
          <t>YEAR BUILT 5 YEARS
FOR DURIAN SEASON</t>
        </is>
      </c>
      <c r="I24" s="5" t="inlineStr">
        <is>
          <t>CARRIER</t>
        </is>
      </c>
      <c r="J24" s="5" t="inlineStr">
        <is>
          <t>DAIKIN</t>
        </is>
      </c>
      <c r="K24" s="5" t="inlineStr">
        <is>
          <t>THERMO KING</t>
        </is>
      </c>
      <c r="L24" s="1" t="n"/>
      <c r="M24" s="1" t="n"/>
      <c r="N24" s="1" t="n"/>
      <c r="O24" s="1" t="n"/>
    </row>
    <row r="25" ht="13" customHeight="1">
      <c r="A25" s="1" t="n"/>
      <c r="B25" s="61" t="n"/>
      <c r="C25" s="5" t="inlineStr">
        <is>
          <t>45RE</t>
        </is>
      </c>
      <c r="D25" s="5" t="inlineStr">
        <is>
          <t>45RE</t>
        </is>
      </c>
      <c r="E25" s="5" t="inlineStr">
        <is>
          <t>45RE</t>
        </is>
      </c>
      <c r="F25" s="1" t="n"/>
      <c r="G25" s="1" t="n"/>
      <c r="H25" s="61" t="n"/>
      <c r="I25" s="5" t="inlineStr">
        <is>
          <t>45RE</t>
        </is>
      </c>
      <c r="J25" s="5" t="inlineStr">
        <is>
          <t>45RE</t>
        </is>
      </c>
      <c r="K25" s="5" t="inlineStr">
        <is>
          <t>45RE</t>
        </is>
      </c>
      <c r="L25" s="1" t="n"/>
      <c r="M25" s="1" t="n"/>
      <c r="N25" s="1" t="n"/>
      <c r="O25" s="1" t="n"/>
    </row>
    <row r="26" ht="13" customHeight="1">
      <c r="A26" s="1" t="n"/>
      <c r="B26" s="10" t="n">
        <v>2026</v>
      </c>
      <c r="C26" s="10" t="n">
        <v>0</v>
      </c>
      <c r="D26" s="10" t="n">
        <v>0</v>
      </c>
      <c r="E26" s="10" t="n">
        <v>0</v>
      </c>
      <c r="F26" s="1" t="n"/>
      <c r="G26" s="1" t="n"/>
      <c r="H26" s="10" t="n">
        <v>2026</v>
      </c>
      <c r="I26" s="10" t="n">
        <v>0</v>
      </c>
      <c r="J26" s="10" t="n">
        <v>0</v>
      </c>
      <c r="K26" s="10" t="n">
        <v>0</v>
      </c>
      <c r="L26" s="1" t="n"/>
      <c r="M26" s="1" t="n"/>
      <c r="N26" s="1" t="n"/>
      <c r="O26" s="1" t="n"/>
    </row>
    <row r="27" ht="13" customHeight="1">
      <c r="A27" s="1" t="n"/>
      <c r="B27" s="10" t="n">
        <v>2025</v>
      </c>
      <c r="C27" s="10" t="n">
        <v>5</v>
      </c>
      <c r="D27" s="10" t="n">
        <v>0</v>
      </c>
      <c r="E27" s="10" t="n">
        <v>1</v>
      </c>
      <c r="F27" s="1" t="n"/>
      <c r="G27" s="1" t="n"/>
      <c r="H27" s="10" t="n">
        <v>2025</v>
      </c>
      <c r="I27" s="10" t="n">
        <v>12</v>
      </c>
      <c r="J27" s="10" t="n">
        <v>0</v>
      </c>
      <c r="K27" s="10" t="n">
        <v>0</v>
      </c>
      <c r="L27" s="1" t="n"/>
      <c r="M27" s="1" t="n"/>
      <c r="N27" s="1" t="n"/>
      <c r="O27" s="1" t="n"/>
    </row>
    <row r="28" ht="13" customHeight="1">
      <c r="A28" s="1" t="n"/>
      <c r="B28" s="10" t="n">
        <v>2024</v>
      </c>
      <c r="C28" s="10" t="n">
        <v>0</v>
      </c>
      <c r="D28" s="10" t="n">
        <v>0</v>
      </c>
      <c r="E28" s="10" t="n">
        <v>0</v>
      </c>
      <c r="F28" s="1" t="n"/>
      <c r="G28" s="1" t="n"/>
      <c r="H28" s="10" t="n">
        <v>2024</v>
      </c>
      <c r="I28" s="10" t="n">
        <v>0</v>
      </c>
      <c r="J28" s="10" t="n">
        <v>0</v>
      </c>
      <c r="K28" s="10" t="n">
        <v>0</v>
      </c>
      <c r="L28" s="1" t="n"/>
      <c r="M28" s="1" t="n"/>
      <c r="N28" s="1" t="n"/>
      <c r="O28" s="1" t="n"/>
    </row>
    <row r="29" ht="13" customHeight="1">
      <c r="A29" s="1" t="n"/>
      <c r="B29" s="10" t="n">
        <v>2023</v>
      </c>
      <c r="C29" s="10" t="n">
        <v>1</v>
      </c>
      <c r="D29" s="10" t="n">
        <v>0</v>
      </c>
      <c r="E29" s="10" t="n">
        <v>0</v>
      </c>
      <c r="F29" s="1" t="n"/>
      <c r="G29" s="1" t="n"/>
      <c r="H29" s="10" t="n">
        <v>2023</v>
      </c>
      <c r="I29" s="10" t="n">
        <v>0</v>
      </c>
      <c r="J29" s="10" t="n">
        <v>0</v>
      </c>
      <c r="K29" s="10" t="n">
        <v>0</v>
      </c>
      <c r="L29" s="1" t="n"/>
      <c r="M29" s="1" t="n"/>
      <c r="N29" s="1" t="n"/>
      <c r="O29" s="1" t="n"/>
    </row>
    <row r="30" ht="13" customHeight="1">
      <c r="A30" s="1" t="n"/>
      <c r="B30" s="10" t="n">
        <v>2022</v>
      </c>
      <c r="C30" s="10" t="n">
        <v>0</v>
      </c>
      <c r="D30" s="10" t="n">
        <v>0</v>
      </c>
      <c r="E30" s="10" t="n">
        <v>0</v>
      </c>
      <c r="F30" s="1" t="n"/>
      <c r="G30" s="1" t="n"/>
      <c r="H30" s="10" t="n">
        <v>2022</v>
      </c>
      <c r="I30" s="10" t="n">
        <v>0</v>
      </c>
      <c r="J30" s="10" t="n">
        <v>0</v>
      </c>
      <c r="K30" s="10" t="n">
        <v>0</v>
      </c>
      <c r="L30" s="1" t="n"/>
      <c r="M30" s="1" t="n"/>
      <c r="N30" s="1" t="n"/>
      <c r="O30" s="1" t="n"/>
    </row>
    <row r="31" ht="13" customHeight="1">
      <c r="A31" s="1" t="n"/>
      <c r="B31" s="10" t="n">
        <v>2021</v>
      </c>
      <c r="C31" s="10" t="n">
        <v>4</v>
      </c>
      <c r="D31" s="10" t="n">
        <v>0</v>
      </c>
      <c r="E31" s="10" t="n">
        <v>0</v>
      </c>
      <c r="F31" s="1" t="n"/>
      <c r="G31" s="1" t="n"/>
      <c r="H31" s="10" t="n">
        <v>2021</v>
      </c>
      <c r="I31" s="10" t="n">
        <v>8</v>
      </c>
      <c r="J31" s="10" t="n">
        <v>0</v>
      </c>
      <c r="K31" s="10" t="n">
        <v>0</v>
      </c>
      <c r="L31" s="1" t="n"/>
      <c r="M31" s="1" t="n"/>
      <c r="N31" s="1" t="n"/>
      <c r="O31" s="1" t="n"/>
    </row>
    <row r="32" ht="13" customHeight="1">
      <c r="A32" s="1" t="n"/>
      <c r="B32" s="7" t="inlineStr">
        <is>
          <t>TOTAL</t>
        </is>
      </c>
      <c r="C32" s="7" t="n">
        <v>10</v>
      </c>
      <c r="D32" s="7" t="n">
        <v>0</v>
      </c>
      <c r="E32" s="7" t="n">
        <v>1</v>
      </c>
      <c r="F32" s="1" t="n"/>
      <c r="G32" s="1" t="n"/>
      <c r="H32" s="7" t="inlineStr">
        <is>
          <t>TOTAL</t>
        </is>
      </c>
      <c r="I32" s="7" t="n">
        <v>20</v>
      </c>
      <c r="J32" s="7" t="n">
        <v>0</v>
      </c>
      <c r="K32" s="7" t="n">
        <v>0</v>
      </c>
      <c r="L32" s="1" t="n"/>
      <c r="M32" s="1" t="n"/>
      <c r="N32" s="1" t="n"/>
      <c r="O32" s="1" t="n"/>
    </row>
    <row r="33" ht="13" customHeight="1">
      <c r="A33" s="1" t="n"/>
      <c r="B33" s="1" t="n"/>
      <c r="C33" s="1" t="n"/>
      <c r="D33" s="20" t="inlineStr">
        <is>
          <t>OVER 5 Y</t>
        </is>
      </c>
      <c r="E33" s="21" t="n">
        <v>23</v>
      </c>
      <c r="F33" s="1" t="n"/>
      <c r="G33" s="1" t="n"/>
      <c r="H33" s="1" t="n"/>
      <c r="I33" s="1" t="n"/>
      <c r="J33" s="20" t="inlineStr">
        <is>
          <t>OVER 5 Y</t>
        </is>
      </c>
      <c r="K33" s="21" t="n">
        <v>36</v>
      </c>
      <c r="L33" s="1" t="n"/>
      <c r="M33" s="1" t="n"/>
      <c r="N33" s="1" t="n"/>
      <c r="O33" s="1" t="n"/>
    </row>
  </sheetData>
  <mergeCells count="7">
    <mergeCell ref="B23:E23"/>
    <mergeCell ref="B3:D3"/>
    <mergeCell ref="B24:B25"/>
    <mergeCell ref="H3:J3"/>
    <mergeCell ref="A1:K1"/>
    <mergeCell ref="H24:H25"/>
    <mergeCell ref="H23:K23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showGridLines="0" tabSelected="0" workbookViewId="0">
      <selection activeCell="A1" sqref="A1"/>
    </sheetView>
  </sheetViews>
  <sheetFormatPr baseColWidth="8" defaultRowHeight="15"/>
  <cols>
    <col width="3.571428571428572" customWidth="1" min="1" max="1"/>
    <col width="8.714285714285714" customWidth="1" min="2" max="2"/>
    <col width="8.714285714285714" customWidth="1" min="3" max="3"/>
    <col width="8.714285714285714" customWidth="1" min="4" max="4"/>
    <col width="8.714285714285714" customWidth="1" min="5" max="5"/>
    <col width="8.714285714285714" customWidth="1" min="6" max="6"/>
    <col width="8.714285714285714" customWidth="1" min="7" max="7"/>
    <col width="8.714285714285714" customWidth="1" min="8" max="8"/>
    <col width="3.571428571428572" customWidth="1" min="9" max="9"/>
    <col width="8.714285714285714" customWidth="1" min="10" max="10"/>
    <col width="8.714285714285714" customWidth="1" min="11" max="11"/>
    <col width="8.714285714285714" customWidth="1" min="12" max="12"/>
    <col width="8.714285714285714" customWidth="1" min="13" max="13"/>
    <col width="8.714285714285714" customWidth="1" min="14" max="14"/>
    <col width="8.714285714285714" customWidth="1" min="15" max="15"/>
    <col width="8.714285714285714" customWidth="1" min="16" max="16"/>
    <col width="8.714285714285714" customWidth="1" min="17" max="17"/>
  </cols>
  <sheetData>
    <row r="1" ht="13" customHeight="1">
      <c r="A1" s="1" t="n"/>
      <c r="B1" s="22" t="inlineStr">
        <is>
          <t>CARGO CLASSIFICATION  (40'RH stock by Built Year, per depot)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3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3" customHeight="1">
      <c r="A3" s="1" t="n"/>
      <c r="B3" s="23" t="inlineStr">
        <is>
          <t>BKK27 DURIAN  (2021-2026)</t>
        </is>
      </c>
      <c r="C3" s="24" t="n"/>
      <c r="D3" s="24" t="n"/>
      <c r="E3" s="1" t="n"/>
      <c r="F3" s="23" t="inlineStr">
        <is>
          <t>BKK27 NON DURIAN  (≤ 2020)</t>
        </is>
      </c>
      <c r="G3" s="24" t="n"/>
      <c r="H3" s="24" t="n"/>
      <c r="I3" s="1" t="n"/>
      <c r="J3" s="23" t="inlineStr">
        <is>
          <t>LCH27 DURIAN  (2021-2026)</t>
        </is>
      </c>
      <c r="K3" s="24" t="n"/>
      <c r="L3" s="24" t="n"/>
      <c r="M3" s="1" t="n"/>
      <c r="N3" s="23" t="inlineStr">
        <is>
          <t>LCH27 NON DURIAN  (≤ 2020)</t>
        </is>
      </c>
      <c r="O3" s="24" t="n"/>
      <c r="P3" s="24" t="n"/>
    </row>
    <row r="4" ht="13" customHeight="1">
      <c r="A4" s="1" t="n"/>
      <c r="B4" s="25">
        <f>SUM(D11:D16)+SUM(F11:F16)+SUM(H11:H16)</f>
        <v/>
      </c>
      <c r="C4" s="24" t="n"/>
      <c r="D4" s="24" t="n"/>
      <c r="E4" s="1" t="n"/>
      <c r="F4" s="25">
        <f>SUM(D17:D27)+SUM(F17:F27)+SUM(H17:H27)</f>
        <v/>
      </c>
      <c r="G4" s="24" t="n"/>
      <c r="H4" s="24" t="n"/>
      <c r="I4" s="1" t="n"/>
      <c r="J4" s="26">
        <f>SUM(L11:L16)+SUM(N11:N16)+SUM(P11:P16)</f>
        <v/>
      </c>
      <c r="K4" s="24" t="n"/>
      <c r="L4" s="24" t="n"/>
      <c r="M4" s="1" t="n"/>
      <c r="N4" s="26">
        <f>SUM(L17:L27)+SUM(N17:N27)+SUM(P17:P27)</f>
        <v/>
      </c>
      <c r="O4" s="24" t="n"/>
      <c r="P4" s="24" t="n"/>
    </row>
    <row r="5" ht="13" customHeight="1">
      <c r="A5" s="1" t="n"/>
      <c r="B5" s="27" t="inlineStr">
        <is>
          <t>40'RH stock</t>
        </is>
      </c>
      <c r="C5" s="24" t="n"/>
      <c r="D5" s="24" t="n"/>
      <c r="E5" s="1" t="n"/>
      <c r="F5" s="27" t="inlineStr">
        <is>
          <t>40'RH stock</t>
        </is>
      </c>
      <c r="G5" s="24" t="n"/>
      <c r="H5" s="24" t="n"/>
      <c r="I5" s="1" t="n"/>
      <c r="J5" s="27" t="inlineStr">
        <is>
          <t>40'RH stock</t>
        </is>
      </c>
      <c r="K5" s="24" t="n"/>
      <c r="L5" s="24" t="n"/>
      <c r="M5" s="1" t="n"/>
      <c r="N5" s="27" t="inlineStr">
        <is>
          <t>40'RH stock</t>
        </is>
      </c>
      <c r="O5" s="24" t="n"/>
      <c r="P5" s="24" t="n"/>
    </row>
    <row r="6" ht="13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3" t="inlineStr">
        <is>
          <t>BKK27 / BC2  —  Stock by Built Year x Brand x Size</t>
        </is>
      </c>
      <c r="C8" s="57" t="n"/>
      <c r="D8" s="57" t="n"/>
      <c r="E8" s="57" t="n"/>
      <c r="F8" s="57" t="n"/>
      <c r="G8" s="57" t="n"/>
      <c r="H8" s="58" t="n"/>
      <c r="I8" s="1" t="n"/>
      <c r="J8" s="3" t="inlineStr">
        <is>
          <t>LCH27 / HAST  —  Stock by Built Year x Brand x Size</t>
        </is>
      </c>
      <c r="K8" s="57" t="n"/>
      <c r="L8" s="57" t="n"/>
      <c r="M8" s="57" t="n"/>
      <c r="N8" s="57" t="n"/>
      <c r="O8" s="57" t="n"/>
      <c r="P8" s="58" t="n"/>
    </row>
    <row r="9" ht="26" customHeight="1">
      <c r="A9" s="1" t="n"/>
      <c r="B9" s="19" t="inlineStr">
        <is>
          <t>YEAR
BUILT</t>
        </is>
      </c>
      <c r="C9" s="5" t="inlineStr">
        <is>
          <t>CARRIER</t>
        </is>
      </c>
      <c r="D9" s="58" t="n"/>
      <c r="E9" s="5" t="inlineStr">
        <is>
          <t>DAIKIN</t>
        </is>
      </c>
      <c r="F9" s="58" t="n"/>
      <c r="G9" s="5" t="inlineStr">
        <is>
          <t>THERMO KING</t>
        </is>
      </c>
      <c r="H9" s="58" t="n"/>
      <c r="I9" s="1" t="n"/>
      <c r="J9" s="19" t="inlineStr">
        <is>
          <t>YEAR
BUILT</t>
        </is>
      </c>
      <c r="K9" s="5" t="inlineStr">
        <is>
          <t>CARRIER</t>
        </is>
      </c>
      <c r="L9" s="58" t="n"/>
      <c r="M9" s="5" t="inlineStr">
        <is>
          <t>DAIKIN</t>
        </is>
      </c>
      <c r="N9" s="58" t="n"/>
      <c r="O9" s="5" t="inlineStr">
        <is>
          <t>THERMO KING</t>
        </is>
      </c>
      <c r="P9" s="58" t="n"/>
    </row>
    <row r="10" ht="13" customHeight="1">
      <c r="A10" s="1" t="n"/>
      <c r="B10" s="61" t="n"/>
      <c r="C10" s="29" t="inlineStr">
        <is>
          <t>20'RE</t>
        </is>
      </c>
      <c r="D10" s="29" t="inlineStr">
        <is>
          <t>40'RH</t>
        </is>
      </c>
      <c r="E10" s="29" t="inlineStr">
        <is>
          <t>20'RE</t>
        </is>
      </c>
      <c r="F10" s="29" t="inlineStr">
        <is>
          <t>40'RH</t>
        </is>
      </c>
      <c r="G10" s="29" t="inlineStr">
        <is>
          <t>20'RE</t>
        </is>
      </c>
      <c r="H10" s="29" t="inlineStr">
        <is>
          <t>40'RH</t>
        </is>
      </c>
      <c r="I10" s="1" t="n"/>
      <c r="J10" s="61" t="n"/>
      <c r="K10" s="29" t="inlineStr">
        <is>
          <t>20'RE</t>
        </is>
      </c>
      <c r="L10" s="29" t="inlineStr">
        <is>
          <t>40'RH</t>
        </is>
      </c>
      <c r="M10" s="29" t="inlineStr">
        <is>
          <t>20'RE</t>
        </is>
      </c>
      <c r="N10" s="29" t="inlineStr">
        <is>
          <t>40'RH</t>
        </is>
      </c>
      <c r="O10" s="29" t="inlineStr">
        <is>
          <t>20'RE</t>
        </is>
      </c>
      <c r="P10" s="29" t="inlineStr">
        <is>
          <t>40'RH</t>
        </is>
      </c>
    </row>
    <row r="11" ht="13" customHeight="1">
      <c r="A11" s="1" t="n"/>
      <c r="B11" s="30" t="n">
        <v>2026</v>
      </c>
      <c r="C11" s="31" t="n"/>
      <c r="D11" s="31" t="n"/>
      <c r="E11" s="31" t="n"/>
      <c r="F11" s="31" t="n"/>
      <c r="G11" s="31" t="n"/>
      <c r="H11" s="31" t="n"/>
      <c r="I11" s="1" t="n"/>
      <c r="J11" s="30" t="n">
        <v>2026</v>
      </c>
      <c r="K11" s="31" t="n"/>
      <c r="L11" s="31" t="n"/>
      <c r="M11" s="31" t="n"/>
      <c r="N11" s="31" t="n"/>
      <c r="O11" s="31" t="n"/>
      <c r="P11" s="31" t="n"/>
    </row>
    <row r="12" ht="13" customHeight="1">
      <c r="A12" s="1" t="n"/>
      <c r="B12" s="30" t="n">
        <v>2025</v>
      </c>
      <c r="C12" s="31" t="n"/>
      <c r="D12" s="31" t="n">
        <v>5</v>
      </c>
      <c r="E12" s="31" t="n">
        <v>3</v>
      </c>
      <c r="F12" s="31" t="n"/>
      <c r="G12" s="31" t="n"/>
      <c r="H12" s="31" t="n">
        <v>1</v>
      </c>
      <c r="I12" s="1" t="n"/>
      <c r="J12" s="30" t="n">
        <v>2025</v>
      </c>
      <c r="K12" s="31" t="n"/>
      <c r="L12" s="31" t="n">
        <v>12</v>
      </c>
      <c r="M12" s="31" t="n"/>
      <c r="N12" s="31" t="n"/>
      <c r="O12" s="31" t="n"/>
      <c r="P12" s="31" t="n"/>
    </row>
    <row r="13" ht="13" customHeight="1">
      <c r="A13" s="1" t="n"/>
      <c r="B13" s="30" t="n">
        <v>2024</v>
      </c>
      <c r="C13" s="31" t="n"/>
      <c r="D13" s="31" t="n"/>
      <c r="E13" s="31" t="n"/>
      <c r="F13" s="31" t="n"/>
      <c r="G13" s="31" t="n"/>
      <c r="H13" s="31" t="n"/>
      <c r="I13" s="1" t="n"/>
      <c r="J13" s="30" t="n">
        <v>2024</v>
      </c>
      <c r="K13" s="31" t="n"/>
      <c r="L13" s="31" t="n"/>
      <c r="M13" s="31" t="n"/>
      <c r="N13" s="31" t="n"/>
      <c r="O13" s="31" t="n"/>
      <c r="P13" s="31" t="n"/>
    </row>
    <row r="14" ht="13" customHeight="1">
      <c r="A14" s="1" t="n"/>
      <c r="B14" s="30" t="n">
        <v>2023</v>
      </c>
      <c r="C14" s="31" t="n"/>
      <c r="D14" s="31" t="n">
        <v>1</v>
      </c>
      <c r="E14" s="31" t="n"/>
      <c r="F14" s="31" t="n"/>
      <c r="G14" s="31" t="n"/>
      <c r="H14" s="31" t="n"/>
      <c r="I14" s="1" t="n"/>
      <c r="J14" s="30" t="n">
        <v>2023</v>
      </c>
      <c r="K14" s="31" t="n"/>
      <c r="L14" s="31" t="n"/>
      <c r="M14" s="31" t="n"/>
      <c r="N14" s="31" t="n"/>
      <c r="O14" s="31" t="n"/>
      <c r="P14" s="31" t="n"/>
    </row>
    <row r="15" ht="13" customHeight="1">
      <c r="A15" s="1" t="n"/>
      <c r="B15" s="30" t="n">
        <v>2022</v>
      </c>
      <c r="C15" s="31" t="n"/>
      <c r="D15" s="31" t="n"/>
      <c r="E15" s="31" t="n"/>
      <c r="F15" s="31" t="n"/>
      <c r="G15" s="31" t="n"/>
      <c r="H15" s="31" t="n"/>
      <c r="I15" s="1" t="n"/>
      <c r="J15" s="30" t="n">
        <v>2022</v>
      </c>
      <c r="K15" s="31" t="n"/>
      <c r="L15" s="31" t="n"/>
      <c r="M15" s="31" t="n"/>
      <c r="N15" s="31" t="n"/>
      <c r="O15" s="31" t="n"/>
      <c r="P15" s="31" t="n"/>
    </row>
    <row r="16" ht="13" customHeight="1">
      <c r="A16" s="1" t="n"/>
      <c r="B16" s="30" t="n">
        <v>2021</v>
      </c>
      <c r="C16" s="31" t="n">
        <v>7</v>
      </c>
      <c r="D16" s="31" t="n">
        <v>4</v>
      </c>
      <c r="E16" s="31" t="n"/>
      <c r="F16" s="31" t="n"/>
      <c r="G16" s="31" t="n"/>
      <c r="H16" s="31" t="n"/>
      <c r="I16" s="1" t="n"/>
      <c r="J16" s="30" t="n">
        <v>2021</v>
      </c>
      <c r="K16" s="31" t="n">
        <v>5</v>
      </c>
      <c r="L16" s="31" t="n">
        <v>8</v>
      </c>
      <c r="M16" s="31" t="n"/>
      <c r="N16" s="31" t="n"/>
      <c r="O16" s="31" t="n"/>
      <c r="P16" s="31" t="n"/>
    </row>
    <row r="17" ht="13" customHeight="1">
      <c r="A17" s="1" t="n"/>
      <c r="B17" s="32" t="n">
        <v>2020</v>
      </c>
      <c r="C17" s="33" t="n">
        <v>2</v>
      </c>
      <c r="D17" s="33" t="n">
        <v>4</v>
      </c>
      <c r="E17" s="33" t="n"/>
      <c r="F17" s="33" t="n"/>
      <c r="G17" s="33" t="n"/>
      <c r="H17" s="33" t="n">
        <v>1</v>
      </c>
      <c r="I17" s="1" t="n"/>
      <c r="J17" s="32" t="n">
        <v>2020</v>
      </c>
      <c r="K17" s="33" t="n"/>
      <c r="L17" s="33" t="n">
        <v>9</v>
      </c>
      <c r="M17" s="33" t="n"/>
      <c r="N17" s="33" t="n"/>
      <c r="O17" s="33" t="n"/>
      <c r="P17" s="33" t="n"/>
    </row>
    <row r="18" ht="13" customHeight="1">
      <c r="A18" s="1" t="n"/>
      <c r="B18" s="32" t="n">
        <v>2019</v>
      </c>
      <c r="C18" s="33" t="n">
        <v>3</v>
      </c>
      <c r="D18" s="33" t="n">
        <v>5</v>
      </c>
      <c r="E18" s="33" t="n"/>
      <c r="F18" s="33" t="n"/>
      <c r="G18" s="33" t="n"/>
      <c r="H18" s="33" t="n"/>
      <c r="I18" s="1" t="n"/>
      <c r="J18" s="32" t="n">
        <v>2019</v>
      </c>
      <c r="K18" s="33" t="n">
        <v>1</v>
      </c>
      <c r="L18" s="33" t="n">
        <v>10</v>
      </c>
      <c r="M18" s="33" t="n"/>
      <c r="N18" s="33" t="n"/>
      <c r="O18" s="33" t="n"/>
      <c r="P18" s="33" t="n"/>
    </row>
    <row r="19" ht="13" customHeight="1">
      <c r="A19" s="1" t="n"/>
      <c r="B19" s="32" t="n">
        <v>2018</v>
      </c>
      <c r="C19" s="33" t="n">
        <v>1</v>
      </c>
      <c r="D19" s="33" t="n">
        <v>1</v>
      </c>
      <c r="E19" s="33" t="n"/>
      <c r="F19" s="33" t="n"/>
      <c r="G19" s="33" t="n"/>
      <c r="H19" s="33" t="n"/>
      <c r="I19" s="1" t="n"/>
      <c r="J19" s="32" t="n">
        <v>2018</v>
      </c>
      <c r="K19" s="33" t="n"/>
      <c r="L19" s="33" t="n">
        <v>1</v>
      </c>
      <c r="M19" s="33" t="n"/>
      <c r="N19" s="33" t="n"/>
      <c r="O19" s="33" t="n"/>
      <c r="P19" s="33" t="n"/>
    </row>
    <row r="20" ht="13" customHeight="1">
      <c r="A20" s="1" t="n"/>
      <c r="B20" s="32" t="n">
        <v>2017</v>
      </c>
      <c r="C20" s="33" t="n">
        <v>3</v>
      </c>
      <c r="D20" s="33" t="n"/>
      <c r="E20" s="33" t="n"/>
      <c r="F20" s="33" t="n"/>
      <c r="G20" s="33" t="n"/>
      <c r="H20" s="33" t="n"/>
      <c r="I20" s="1" t="n"/>
      <c r="J20" s="32" t="n">
        <v>2017</v>
      </c>
      <c r="K20" s="33" t="n">
        <v>1</v>
      </c>
      <c r="L20" s="33" t="n"/>
      <c r="M20" s="33" t="n"/>
      <c r="N20" s="33" t="n"/>
      <c r="O20" s="33" t="n"/>
      <c r="P20" s="33" t="n"/>
    </row>
    <row r="21" ht="13" customHeight="1">
      <c r="A21" s="1" t="n"/>
      <c r="B21" s="32" t="n">
        <v>2016</v>
      </c>
      <c r="C21" s="33" t="n">
        <v>2</v>
      </c>
      <c r="D21" s="33" t="n">
        <v>1</v>
      </c>
      <c r="E21" s="33" t="n">
        <v>2</v>
      </c>
      <c r="F21" s="33" t="n"/>
      <c r="G21" s="33" t="n"/>
      <c r="H21" s="33" t="n"/>
      <c r="I21" s="1" t="n"/>
      <c r="J21" s="32" t="n">
        <v>2016</v>
      </c>
      <c r="K21" s="33" t="n">
        <v>1</v>
      </c>
      <c r="L21" s="33" t="n"/>
      <c r="M21" s="33" t="n"/>
      <c r="N21" s="33" t="n"/>
      <c r="O21" s="33" t="n"/>
      <c r="P21" s="33" t="n"/>
    </row>
    <row r="22" ht="13" customHeight="1">
      <c r="A22" s="1" t="n"/>
      <c r="B22" s="34" t="n">
        <v>2015</v>
      </c>
      <c r="C22" s="35" t="n"/>
      <c r="D22" s="35" t="n">
        <v>3</v>
      </c>
      <c r="E22" s="35" t="n">
        <v>2</v>
      </c>
      <c r="F22" s="35" t="n"/>
      <c r="G22" s="35" t="n"/>
      <c r="H22" s="35" t="n"/>
      <c r="I22" s="1" t="n"/>
      <c r="J22" s="34" t="n">
        <v>2015</v>
      </c>
      <c r="K22" s="35" t="n"/>
      <c r="L22" s="35" t="n"/>
      <c r="M22" s="35" t="n"/>
      <c r="N22" s="35" t="n"/>
      <c r="O22" s="35" t="n"/>
      <c r="P22" s="35" t="n"/>
    </row>
    <row r="23" ht="13" customHeight="1">
      <c r="A23" s="1" t="n"/>
      <c r="B23" s="34" t="n">
        <v>2014</v>
      </c>
      <c r="C23" s="35" t="n">
        <v>2</v>
      </c>
      <c r="D23" s="35" t="n"/>
      <c r="E23" s="35" t="n"/>
      <c r="F23" s="35" t="n"/>
      <c r="G23" s="35" t="n"/>
      <c r="H23" s="35" t="n"/>
      <c r="I23" s="1" t="n"/>
      <c r="J23" s="34" t="n">
        <v>2014</v>
      </c>
      <c r="K23" s="35" t="n"/>
      <c r="L23" s="35" t="n">
        <v>5</v>
      </c>
      <c r="M23" s="35" t="n"/>
      <c r="N23" s="35" t="n"/>
      <c r="O23" s="35" t="n"/>
      <c r="P23" s="35" t="n"/>
    </row>
    <row r="24" ht="13" customHeight="1">
      <c r="A24" s="1" t="n"/>
      <c r="B24" s="34" t="n">
        <v>2013</v>
      </c>
      <c r="C24" s="35" t="n">
        <v>1</v>
      </c>
      <c r="D24" s="35" t="n">
        <v>1</v>
      </c>
      <c r="E24" s="35" t="n">
        <v>6</v>
      </c>
      <c r="F24" s="35" t="n">
        <v>2</v>
      </c>
      <c r="G24" s="35" t="n">
        <v>2</v>
      </c>
      <c r="H24" s="35" t="n">
        <v>1</v>
      </c>
      <c r="I24" s="1" t="n"/>
      <c r="J24" s="34" t="n">
        <v>2013</v>
      </c>
      <c r="K24" s="35" t="n"/>
      <c r="L24" s="35" t="n"/>
      <c r="M24" s="35" t="n">
        <v>3</v>
      </c>
      <c r="N24" s="35" t="n">
        <v>3</v>
      </c>
      <c r="O24" s="35" t="n"/>
      <c r="P24" s="35" t="n"/>
    </row>
    <row r="25" ht="13" customHeight="1">
      <c r="A25" s="1" t="n"/>
      <c r="B25" s="34" t="n">
        <v>2012</v>
      </c>
      <c r="C25" s="35" t="n">
        <v>1</v>
      </c>
      <c r="D25" s="35" t="n"/>
      <c r="E25" s="35" t="n"/>
      <c r="F25" s="35" t="n"/>
      <c r="G25" s="35" t="n"/>
      <c r="H25" s="35" t="n"/>
      <c r="I25" s="1" t="n"/>
      <c r="J25" s="34" t="n">
        <v>2012</v>
      </c>
      <c r="K25" s="35" t="n"/>
      <c r="L25" s="35" t="n">
        <v>3</v>
      </c>
      <c r="M25" s="35" t="n">
        <v>1</v>
      </c>
      <c r="N25" s="35" t="n"/>
      <c r="O25" s="35" t="n"/>
      <c r="P25" s="35" t="n"/>
    </row>
    <row r="26" ht="13" customHeight="1">
      <c r="A26" s="1" t="n"/>
      <c r="B26" s="34" t="n">
        <v>2011</v>
      </c>
      <c r="C26" s="35" t="n"/>
      <c r="D26" s="35" t="n"/>
      <c r="E26" s="35" t="n"/>
      <c r="F26" s="35" t="n">
        <v>4</v>
      </c>
      <c r="G26" s="35" t="n"/>
      <c r="H26" s="35" t="n"/>
      <c r="I26" s="1" t="n"/>
      <c r="J26" s="34" t="n">
        <v>2011</v>
      </c>
      <c r="K26" s="35" t="n"/>
      <c r="L26" s="35" t="n"/>
      <c r="M26" s="35" t="n"/>
      <c r="N26" s="35" t="n">
        <v>4</v>
      </c>
      <c r="O26" s="35" t="n"/>
      <c r="P26" s="35" t="n"/>
    </row>
    <row r="27" ht="13" customHeight="1">
      <c r="A27" s="1" t="n"/>
      <c r="B27" s="36" t="n">
        <v>2010</v>
      </c>
      <c r="C27" s="37" t="n"/>
      <c r="D27" s="37" t="n"/>
      <c r="E27" s="37" t="n"/>
      <c r="F27" s="37" t="n"/>
      <c r="G27" s="37" t="n"/>
      <c r="H27" s="37" t="n"/>
      <c r="I27" s="1" t="n"/>
      <c r="J27" s="36" t="n">
        <v>2010</v>
      </c>
      <c r="K27" s="37" t="n"/>
      <c r="L27" s="37" t="n">
        <v>1</v>
      </c>
      <c r="M27" s="37" t="n"/>
      <c r="N27" s="37" t="n"/>
      <c r="O27" s="37" t="n"/>
      <c r="P27" s="37" t="n"/>
    </row>
    <row r="28" ht="13" customHeight="1">
      <c r="A28" s="1" t="n"/>
      <c r="B28" s="17" t="inlineStr">
        <is>
          <t>GTTL</t>
        </is>
      </c>
      <c r="C28" s="17" t="n">
        <v>22</v>
      </c>
      <c r="D28" s="17" t="n">
        <v>25</v>
      </c>
      <c r="E28" s="17" t="n">
        <v>13</v>
      </c>
      <c r="F28" s="17" t="n">
        <v>6</v>
      </c>
      <c r="G28" s="17" t="n">
        <v>2</v>
      </c>
      <c r="H28" s="17" t="n">
        <v>3</v>
      </c>
      <c r="I28" s="1" t="n"/>
      <c r="J28" s="17" t="inlineStr">
        <is>
          <t>GTTL</t>
        </is>
      </c>
      <c r="K28" s="17" t="n">
        <v>8</v>
      </c>
      <c r="L28" s="17" t="n">
        <v>49</v>
      </c>
      <c r="M28" s="17" t="n">
        <v>4</v>
      </c>
      <c r="N28" s="17" t="n">
        <v>7</v>
      </c>
      <c r="O28" s="17" t="n"/>
      <c r="P28" s="17" t="n"/>
    </row>
  </sheetData>
  <mergeCells count="10">
    <mergeCell ref="B8:H8"/>
    <mergeCell ref="B9:B10"/>
    <mergeCell ref="J8:P8"/>
    <mergeCell ref="J9:J10"/>
    <mergeCell ref="K9:L9"/>
    <mergeCell ref="M9:N9"/>
    <mergeCell ref="O9:P9"/>
    <mergeCell ref="C9:D9"/>
    <mergeCell ref="G9:H9"/>
    <mergeCell ref="E9:F9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8">
        <f>'TOTAL RH'!A1</f>
        <v/>
      </c>
      <c r="M1" s="1" t="n"/>
      <c r="N1" s="1" t="n"/>
      <c r="O1" s="1" t="n"/>
      <c r="P1" s="1" t="n"/>
    </row>
    <row r="2" ht="13" customHeight="1">
      <c r="A2" s="1" t="n"/>
      <c r="M2" s="1" t="n"/>
      <c r="N2" s="1" t="n"/>
      <c r="O2" s="1" t="n"/>
      <c r="P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40" t="inlineStr">
        <is>
          <t>SHORTFALL ALERT</t>
        </is>
      </c>
      <c r="C4" s="24" t="n"/>
      <c r="D4" s="24" t="n"/>
      <c r="E4" s="1" t="n"/>
      <c r="F4" s="40" t="inlineStr">
        <is>
          <t>COMBINED 40'RH STOCK</t>
        </is>
      </c>
      <c r="G4" s="24" t="n"/>
      <c r="H4" s="24" t="n"/>
      <c r="I4" s="1" t="n"/>
      <c r="J4" s="40" t="inlineStr">
        <is>
          <t>COMBINED 40'RH BOOKING</t>
        </is>
      </c>
      <c r="K4" s="24" t="n"/>
      <c r="L4" s="24" t="n"/>
      <c r="M4" s="1" t="n"/>
      <c r="N4" s="1" t="n"/>
      <c r="O4" s="1" t="n"/>
      <c r="P4" s="1" t="n"/>
    </row>
    <row r="5" ht="13" customHeight="1">
      <c r="A5" s="1" t="n"/>
      <c r="B5" s="41">
        <f>MIN('TOTAL RH'!D15,'TOTAL RH'!J15)</f>
        <v/>
      </c>
      <c r="C5" s="24" t="n"/>
      <c r="D5" s="24" t="n"/>
      <c r="E5" s="1" t="n"/>
      <c r="F5" s="42">
        <f>'TOTAL RH'!O6</f>
        <v/>
      </c>
      <c r="G5" s="24" t="n"/>
      <c r="H5" s="24" t="n"/>
      <c r="I5" s="1" t="n"/>
      <c r="J5" s="42">
        <f>'TOTAL RH'!O11</f>
        <v/>
      </c>
      <c r="K5" s="24" t="n"/>
      <c r="L5" s="24" t="n"/>
      <c r="M5" s="1" t="n"/>
      <c r="N5" s="1" t="n"/>
      <c r="O5" s="1" t="n"/>
      <c r="P5" s="1" t="n"/>
    </row>
    <row r="6" ht="13" customHeight="1">
      <c r="A6" s="1" t="n"/>
      <c r="B6" s="43">
        <f>"BKK27/LCH27 40'RH, worse "&amp;'TOTAL RH'!B15</f>
        <v/>
      </c>
      <c r="C6" s="24" t="n"/>
      <c r="D6" s="24" t="n"/>
      <c r="E6" s="1" t="n"/>
      <c r="F6" s="43" t="inlineStr">
        <is>
          <t>BKK27 + LCH27</t>
        </is>
      </c>
      <c r="G6" s="24" t="n"/>
      <c r="H6" s="24" t="n"/>
      <c r="I6" s="1" t="n"/>
      <c r="J6" s="43" t="inlineStr">
        <is>
          <t>pending + all weeks</t>
        </is>
      </c>
      <c r="K6" s="24" t="n"/>
      <c r="L6" s="24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4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5">
        <f>'TOTAL RH'!B3</f>
        <v/>
      </c>
      <c r="C9" s="62" t="n"/>
      <c r="D9" s="63" t="n"/>
      <c r="E9" s="1" t="n"/>
      <c r="F9" s="1" t="n"/>
      <c r="G9" s="1" t="n"/>
      <c r="H9" s="46">
        <f>'TOTAL RH'!H3</f>
        <v/>
      </c>
      <c r="I9" s="62" t="n"/>
      <c r="J9" s="63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24" t="n"/>
      <c r="C10" s="47" t="inlineStr">
        <is>
          <t>20'RE</t>
        </is>
      </c>
      <c r="D10" s="47" t="inlineStr">
        <is>
          <t>40'RH</t>
        </is>
      </c>
      <c r="E10" s="1" t="n"/>
      <c r="F10" s="1" t="n"/>
      <c r="G10" s="1" t="n"/>
      <c r="H10" s="24" t="n"/>
      <c r="I10" s="47" t="inlineStr">
        <is>
          <t>20'RE</t>
        </is>
      </c>
      <c r="J10" s="47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8">
        <f>'TOTAL RH'!B5</f>
        <v/>
      </c>
      <c r="C11" s="49">
        <f>'TOTAL RH'!C5</f>
        <v/>
      </c>
      <c r="D11" s="49">
        <f>'TOTAL RH'!D5</f>
        <v/>
      </c>
      <c r="E11" s="1" t="n"/>
      <c r="F11" s="1" t="n"/>
      <c r="G11" s="1" t="n"/>
      <c r="H11" s="48">
        <f>'TOTAL RH'!H5</f>
        <v/>
      </c>
      <c r="I11" s="49">
        <f>'TOTAL RH'!I5</f>
        <v/>
      </c>
      <c r="J11" s="49">
        <f>'TOTAL RH'!J5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50">
        <f>'TOTAL RH'!B6</f>
        <v/>
      </c>
      <c r="C12" s="51">
        <f>'TOTAL RH'!C6</f>
        <v/>
      </c>
      <c r="D12" s="51">
        <f>'TOTAL RH'!D6</f>
        <v/>
      </c>
      <c r="E12" s="1" t="n"/>
      <c r="F12" s="1" t="n"/>
      <c r="G12" s="1" t="n"/>
      <c r="H12" s="50">
        <f>'TOTAL RH'!H6</f>
        <v/>
      </c>
      <c r="I12" s="51">
        <f>'TOTAL RH'!I6</f>
        <v/>
      </c>
      <c r="J12" s="51">
        <f>'TOTAL RH'!J6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50">
        <f>'TOTAL RH'!B7</f>
        <v/>
      </c>
      <c r="C13" s="51">
        <f>'TOTAL RH'!C7</f>
        <v/>
      </c>
      <c r="D13" s="51">
        <f>'TOTAL RH'!D7</f>
        <v/>
      </c>
      <c r="E13" s="1" t="n"/>
      <c r="F13" s="1" t="n"/>
      <c r="G13" s="1" t="n"/>
      <c r="H13" s="50">
        <f>'TOTAL RH'!H7</f>
        <v/>
      </c>
      <c r="I13" s="51">
        <f>'TOTAL RH'!I7</f>
        <v/>
      </c>
      <c r="J13" s="51">
        <f>'TOTAL RH'!J7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50">
        <f>'TOTAL RH'!B8</f>
        <v/>
      </c>
      <c r="C14" s="51">
        <f>'TOTAL RH'!C8</f>
        <v/>
      </c>
      <c r="D14" s="51">
        <f>'TOTAL RH'!D8</f>
        <v/>
      </c>
      <c r="E14" s="1" t="n"/>
      <c r="F14" s="1" t="n"/>
      <c r="G14" s="1" t="n"/>
      <c r="H14" s="50">
        <f>'TOTAL RH'!H8</f>
        <v/>
      </c>
      <c r="I14" s="51">
        <f>'TOTAL RH'!I8</f>
        <v/>
      </c>
      <c r="J14" s="51">
        <f>'TOTAL RH'!J8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52">
        <f>'TOTAL RH'!B9</f>
        <v/>
      </c>
      <c r="C15" s="53">
        <f>'TOTAL RH'!C9</f>
        <v/>
      </c>
      <c r="D15" s="64">
        <f>'TOTAL RH'!D9</f>
        <v/>
      </c>
      <c r="E15" s="1" t="n"/>
      <c r="F15" s="1" t="n"/>
      <c r="G15" s="1" t="n"/>
      <c r="H15" s="52">
        <f>'TOTAL RH'!H9</f>
        <v/>
      </c>
      <c r="I15" s="53">
        <f>'TOTAL RH'!I9</f>
        <v/>
      </c>
      <c r="J15" s="53">
        <f>'TOTAL RH'!J9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50">
        <f>'TOTAL RH'!B11</f>
        <v/>
      </c>
      <c r="C17" s="51">
        <f>'TOTAL RH'!C11</f>
        <v/>
      </c>
      <c r="D17" s="51">
        <f>'TOTAL RH'!D11</f>
        <v/>
      </c>
      <c r="E17" s="1" t="n"/>
      <c r="F17" s="1" t="n"/>
      <c r="G17" s="1" t="n"/>
      <c r="H17" s="50">
        <f>'TOTAL RH'!H11</f>
        <v/>
      </c>
      <c r="I17" s="51">
        <f>'TOTAL RH'!I11</f>
        <v/>
      </c>
      <c r="J17" s="51">
        <f>'TOTAL RH'!J11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52">
        <f>'TOTAL RH'!B12</f>
        <v/>
      </c>
      <c r="C18" s="53">
        <f>'TOTAL RH'!C12</f>
        <v/>
      </c>
      <c r="D18" s="64">
        <f>'TOTAL RH'!D12</f>
        <v/>
      </c>
      <c r="E18" s="1" t="n"/>
      <c r="F18" s="1" t="n"/>
      <c r="G18" s="1" t="n"/>
      <c r="H18" s="52">
        <f>'TOTAL RH'!H12</f>
        <v/>
      </c>
      <c r="I18" s="53">
        <f>'TOTAL RH'!I12</f>
        <v/>
      </c>
      <c r="J18" s="53">
        <f>'TOTAL RH'!J12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50">
        <f>'TOTAL RH'!B14</f>
        <v/>
      </c>
      <c r="C20" s="51">
        <f>'TOTAL RH'!C14</f>
        <v/>
      </c>
      <c r="D20" s="51">
        <f>'TOTAL RH'!D14</f>
        <v/>
      </c>
      <c r="E20" s="1" t="n"/>
      <c r="F20" s="1" t="n"/>
      <c r="G20" s="1" t="n"/>
      <c r="H20" s="50">
        <f>'TOTAL RH'!H14</f>
        <v/>
      </c>
      <c r="I20" s="51">
        <f>'TOTAL RH'!I14</f>
        <v/>
      </c>
      <c r="J20" s="51">
        <f>'TOTAL RH'!J14</f>
        <v/>
      </c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52">
        <f>'TOTAL RH'!B15</f>
        <v/>
      </c>
      <c r="C21" s="53">
        <f>'TOTAL RH'!C15</f>
        <v/>
      </c>
      <c r="D21" s="64">
        <f>'TOTAL RH'!D15</f>
        <v/>
      </c>
      <c r="E21" s="1" t="n"/>
      <c r="F21" s="1" t="n"/>
      <c r="G21" s="1" t="n"/>
      <c r="H21" s="52">
        <f>'TOTAL RH'!H15</f>
        <v/>
      </c>
      <c r="I21" s="53">
        <f>'TOTAL RH'!I15</f>
        <v/>
      </c>
      <c r="J21" s="53">
        <f>'TOTAL RH'!J15</f>
        <v/>
      </c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44" t="inlineStr">
        <is>
          <t>REMARKS  (AV = move code IED/IEP/IER, DMG = move code OER)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45">
        <f>'TOTAL RH'!B3</f>
        <v/>
      </c>
      <c r="C25" s="62" t="n"/>
      <c r="D25" s="63" t="n"/>
      <c r="E25" s="1" t="n"/>
      <c r="F25" s="1" t="n"/>
      <c r="G25" s="1" t="n"/>
      <c r="H25" s="46">
        <f>'TOTAL RH'!H3</f>
        <v/>
      </c>
      <c r="I25" s="62" t="n"/>
      <c r="J25" s="63" t="n"/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24" t="n"/>
      <c r="C26" s="47" t="inlineStr">
        <is>
          <t>20'RE</t>
        </is>
      </c>
      <c r="D26" s="47" t="inlineStr">
        <is>
          <t>40'RH</t>
        </is>
      </c>
      <c r="E26" s="1" t="n"/>
      <c r="F26" s="1" t="n"/>
      <c r="G26" s="1" t="n"/>
      <c r="H26" s="24" t="n"/>
      <c r="I26" s="47" t="inlineStr">
        <is>
          <t>20'RE</t>
        </is>
      </c>
      <c r="J26" s="47" t="inlineStr">
        <is>
          <t>40'RH</t>
        </is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24" t="inlineStr">
        <is>
          <t>AV</t>
        </is>
      </c>
      <c r="C27" s="51">
        <f>'TOTAL RH'!C19</f>
        <v/>
      </c>
      <c r="D27" s="51">
        <f>'TOTAL RH'!D19</f>
        <v/>
      </c>
      <c r="E27" s="1" t="n"/>
      <c r="F27" s="1" t="n"/>
      <c r="G27" s="1" t="n"/>
      <c r="H27" s="24" t="inlineStr">
        <is>
          <t>AV</t>
        </is>
      </c>
      <c r="I27" s="51">
        <f>'TOTAL RH'!I19</f>
        <v/>
      </c>
      <c r="J27" s="51">
        <f>'TOTAL RH'!J19</f>
        <v/>
      </c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24" t="inlineStr">
        <is>
          <t>DMG</t>
        </is>
      </c>
      <c r="C28" s="51">
        <f>'TOTAL RH'!C20</f>
        <v/>
      </c>
      <c r="D28" s="51">
        <f>'TOTAL RH'!D20</f>
        <v/>
      </c>
      <c r="E28" s="1" t="n"/>
      <c r="F28" s="1" t="n"/>
      <c r="G28" s="1" t="n"/>
      <c r="H28" s="24" t="inlineStr">
        <is>
          <t>DMG</t>
        </is>
      </c>
      <c r="I28" s="51">
        <f>'TOTAL RH'!I20</f>
        <v/>
      </c>
      <c r="J28" s="51">
        <f>'TOTAL RH'!J20</f>
        <v/>
      </c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3" customHeight="1">
      <c r="A31" s="1" t="n"/>
      <c r="B31" s="44" t="inlineStr">
        <is>
          <t>RF SEASONAL — build year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40" t="inlineStr">
        <is>
          <t>BKK27 2020-26 BUILT</t>
        </is>
      </c>
      <c r="C32" s="24" t="n"/>
      <c r="D32" s="24" t="n"/>
      <c r="E32" s="1" t="n"/>
      <c r="F32" s="40" t="inlineStr">
        <is>
          <t>LCH27 2020-26 BUILT</t>
        </is>
      </c>
      <c r="G32" s="24" t="n"/>
      <c r="H32" s="24" t="n"/>
      <c r="I32" s="1" t="n"/>
      <c r="J32" s="40" t="inlineStr">
        <is>
          <t>PEAK BUILD YEAR</t>
        </is>
      </c>
      <c r="K32" s="24" t="n"/>
      <c r="L32" s="24" t="n"/>
      <c r="M32" s="1" t="n"/>
      <c r="N32" s="1" t="n"/>
      <c r="O32" s="1" t="n"/>
      <c r="P32" s="1" t="n"/>
    </row>
    <row r="33" ht="13" customHeight="1">
      <c r="A33" s="1" t="n"/>
      <c r="B33" s="54">
        <f>SUM('YEAR BUILT'!D11:D17)+SUM('YEAR BUILT'!F11:F17)+SUM('YEAR BUILT'!H11:H17)</f>
        <v/>
      </c>
      <c r="C33" s="24" t="n"/>
      <c r="D33" s="24" t="n"/>
      <c r="E33" s="1" t="n"/>
      <c r="F33" s="55">
        <f>SUM('YEAR BUILT'!L11:L17)+SUM('YEAR BUILT'!N11:N17)+SUM('YEAR BUILT'!P11:P17)</f>
        <v/>
      </c>
      <c r="G33" s="24" t="n"/>
      <c r="H33" s="24" t="n"/>
      <c r="I33" s="1" t="n"/>
      <c r="J33" s="42">
        <f>"2025"</f>
        <v/>
      </c>
      <c r="K33" s="24" t="n"/>
      <c r="L33" s="24" t="n"/>
      <c r="M33" s="1" t="n"/>
      <c r="N33" s="1" t="n"/>
      <c r="O33" s="1" t="n"/>
      <c r="P33" s="1" t="n"/>
    </row>
    <row r="34" ht="13" customHeight="1">
      <c r="A34" s="1" t="n"/>
      <c r="B34" s="43" t="inlineStr">
        <is>
          <t>of 40'RH on hand</t>
        </is>
      </c>
      <c r="C34" s="24" t="n"/>
      <c r="D34" s="24" t="n"/>
      <c r="E34" s="1" t="n"/>
      <c r="F34" s="43" t="inlineStr">
        <is>
          <t>of 40'RH on hand</t>
        </is>
      </c>
      <c r="G34" s="24" t="n"/>
      <c r="H34" s="24" t="n"/>
      <c r="I34" s="1" t="n"/>
      <c r="J34" s="43" t="inlineStr">
        <is>
          <t>18 units across both depots</t>
        </is>
      </c>
      <c r="K34" s="24" t="n"/>
      <c r="L34" s="24" t="n"/>
      <c r="M34" s="1" t="n"/>
      <c r="N34" s="1" t="n"/>
      <c r="O34" s="1" t="n"/>
      <c r="P34" s="1" t="n"/>
    </row>
    <row r="35" ht="13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3" customHeight="1">
      <c r="A36" s="1" t="n"/>
      <c r="B36" s="40" t="inlineStr">
        <is>
          <t>BKK27 DURIAN  (2021-2026)</t>
        </is>
      </c>
      <c r="C36" s="24" t="n"/>
      <c r="D36" s="24" t="n"/>
      <c r="E36" s="1" t="n"/>
      <c r="F36" s="40" t="inlineStr">
        <is>
          <t>BKK27 NON DURIAN  (≤ 2020)</t>
        </is>
      </c>
      <c r="G36" s="24" t="n"/>
      <c r="H36" s="24" t="n"/>
      <c r="I36" s="1" t="n"/>
      <c r="J36" s="40" t="inlineStr">
        <is>
          <t>LCH27 DURIAN  (2021-2026)</t>
        </is>
      </c>
      <c r="K36" s="24" t="n"/>
      <c r="L36" s="24" t="n"/>
      <c r="M36" s="1" t="n"/>
      <c r="N36" s="40" t="inlineStr">
        <is>
          <t>LCH27 NON DURIAN  (≤ 2020)</t>
        </is>
      </c>
      <c r="O36" s="24" t="n"/>
      <c r="P36" s="24" t="n"/>
    </row>
    <row r="37" ht="13" customHeight="1">
      <c r="A37" s="1" t="n"/>
      <c r="B37" s="54">
        <f>'YEAR BUILT'!B4</f>
        <v/>
      </c>
      <c r="C37" s="24" t="n"/>
      <c r="D37" s="24" t="n"/>
      <c r="E37" s="1" t="n"/>
      <c r="F37" s="54">
        <f>'YEAR BUILT'!F4</f>
        <v/>
      </c>
      <c r="G37" s="24" t="n"/>
      <c r="H37" s="24" t="n"/>
      <c r="I37" s="1" t="n"/>
      <c r="J37" s="55">
        <f>'YEAR BUILT'!J4</f>
        <v/>
      </c>
      <c r="K37" s="24" t="n"/>
      <c r="L37" s="24" t="n"/>
      <c r="M37" s="1" t="n"/>
      <c r="N37" s="55">
        <f>'YEAR BUILT'!N4</f>
        <v/>
      </c>
      <c r="O37" s="24" t="n"/>
      <c r="P37" s="24" t="n"/>
    </row>
    <row r="38" ht="13" customHeight="1">
      <c r="A38" s="1" t="n"/>
      <c r="B38" s="43" t="inlineStr">
        <is>
          <t>40'RH stock</t>
        </is>
      </c>
      <c r="C38" s="24" t="n"/>
      <c r="D38" s="24" t="n"/>
      <c r="E38" s="1" t="n"/>
      <c r="F38" s="43" t="inlineStr">
        <is>
          <t>40'RH stock</t>
        </is>
      </c>
      <c r="G38" s="24" t="n"/>
      <c r="H38" s="24" t="n"/>
      <c r="I38" s="1" t="n"/>
      <c r="J38" s="43" t="inlineStr">
        <is>
          <t>40'RH stock</t>
        </is>
      </c>
      <c r="K38" s="24" t="n"/>
      <c r="L38" s="24" t="n"/>
      <c r="M38" s="1" t="n"/>
      <c r="N38" s="43" t="inlineStr">
        <is>
          <t>40'RH stock</t>
        </is>
      </c>
      <c r="O38" s="24" t="n"/>
      <c r="P38" s="24" t="n"/>
    </row>
    <row r="39" ht="13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45" t="inlineStr">
        <is>
          <t>BKK27 current mix</t>
        </is>
      </c>
      <c r="C40" s="62" t="n"/>
      <c r="D40" s="63" t="n"/>
      <c r="E40" s="1" t="n"/>
      <c r="F40" s="1" t="n"/>
      <c r="G40" s="1" t="n"/>
      <c r="H40" s="46" t="inlineStr">
        <is>
          <t>LCH27 current mix</t>
        </is>
      </c>
      <c r="I40" s="62" t="n"/>
      <c r="J40" s="63" t="n"/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24" t="n"/>
      <c r="C41" s="47" t="inlineStr">
        <is>
          <t>22RE</t>
        </is>
      </c>
      <c r="D41" s="47" t="inlineStr">
        <is>
          <t>45RE</t>
        </is>
      </c>
      <c r="E41" s="1" t="n"/>
      <c r="F41" s="1" t="n"/>
      <c r="G41" s="1" t="n"/>
      <c r="H41" s="24" t="n"/>
      <c r="I41" s="47" t="inlineStr">
        <is>
          <t>22RE</t>
        </is>
      </c>
      <c r="J41" s="47" t="inlineStr">
        <is>
          <t>45RE</t>
        </is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24" t="inlineStr">
        <is>
          <t>CARRIER</t>
        </is>
      </c>
      <c r="C42" s="51">
        <f>'YEAR BUILT'!C28</f>
        <v/>
      </c>
      <c r="D42" s="51">
        <f>'YEAR BUILT'!D28</f>
        <v/>
      </c>
      <c r="E42" s="1" t="n"/>
      <c r="F42" s="1" t="n"/>
      <c r="G42" s="1" t="n"/>
      <c r="H42" s="24" t="inlineStr">
        <is>
          <t>CARRIER</t>
        </is>
      </c>
      <c r="I42" s="51">
        <f>'YEAR BUILT'!K28</f>
        <v/>
      </c>
      <c r="J42" s="51">
        <f>'YEAR BUILT'!L28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24" t="inlineStr">
        <is>
          <t>DAIKIN</t>
        </is>
      </c>
      <c r="C43" s="51">
        <f>'YEAR BUILT'!E28</f>
        <v/>
      </c>
      <c r="D43" s="51">
        <f>'YEAR BUILT'!F28</f>
        <v/>
      </c>
      <c r="E43" s="1" t="n"/>
      <c r="F43" s="1" t="n"/>
      <c r="G43" s="1" t="n"/>
      <c r="H43" s="24" t="inlineStr">
        <is>
          <t>DAIKIN</t>
        </is>
      </c>
      <c r="I43" s="51">
        <f>'YEAR BUILT'!M28</f>
        <v/>
      </c>
      <c r="J43" s="51">
        <f>'YEAR BUILT'!N28</f>
        <v/>
      </c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24" t="inlineStr">
        <is>
          <t>THERMO KING</t>
        </is>
      </c>
      <c r="C44" s="51">
        <f>'YEAR BUILT'!G28</f>
        <v/>
      </c>
      <c r="D44" s="51">
        <f>'YEAR BUILT'!H28</f>
        <v/>
      </c>
      <c r="E44" s="1" t="n"/>
      <c r="F44" s="1" t="n"/>
      <c r="G44" s="1" t="n"/>
      <c r="H44" s="24" t="inlineStr">
        <is>
          <t>THERMO KING</t>
        </is>
      </c>
      <c r="I44" s="51">
        <f>'YEAR BUILT'!O28</f>
        <v/>
      </c>
      <c r="J44" s="51">
        <f>'YEAR BUILT'!P28</f>
        <v/>
      </c>
      <c r="K44" s="1" t="n"/>
      <c r="L44" s="1" t="n"/>
      <c r="M44" s="1" t="n"/>
      <c r="N44" s="1" t="n"/>
      <c r="O44" s="1" t="n"/>
      <c r="P44" s="1" t="n"/>
    </row>
    <row r="45" ht="13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3" customHeight="1">
      <c r="A46" s="1" t="n"/>
      <c r="B46" s="56" t="inlineStr">
        <is>
          <t>Full 2010-2026 Year x Brand x Size breakdown is on the YEAR BUILT sheet.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</sheetData>
  <mergeCells count="7">
    <mergeCell ref="B40:D40"/>
    <mergeCell ref="B9:D9"/>
    <mergeCell ref="B1:L2"/>
    <mergeCell ref="H40:J40"/>
    <mergeCell ref="H9:J9"/>
    <mergeCell ref="B25:D25"/>
    <mergeCell ref="H25:J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2026-10-19T01:33:34Z</dcterms:created>
  <dcterms:modified xmlns:dcterms="http://purl.org/dc/terms/" xmlns:xsi="http://www.w3.org/2001/XMLSchema-instance" xsi:type="dcterms:W3CDTF">2026-10-19T01:33:55Z</dcterms:modified>
</cp:coreProperties>
</file>