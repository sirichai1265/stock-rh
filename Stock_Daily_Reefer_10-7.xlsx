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>
      <b val="1"/>
      <color rgb="00808080"/>
      <sz val="9"/>
    </font>
    <font>
      <b val="1"/>
      <color rgb="002A78D6"/>
      <sz val="20"/>
    </font>
    <font>
      <color rgb="00808080"/>
      <sz val="9"/>
    </font>
    <font>
      <b val="1"/>
      <color rgb="00EB6834"/>
      <sz val="20"/>
    </font>
    <font/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b val="1"/>
      <color rgb="00808080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name val="Calibri"/>
      <color rgb="00808080"/>
      <sz val="11"/>
    </font>
    <font>
      <name val="Calibri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0" fillId="0" borderId="0" pivotButton="0" quotePrefix="0" xfId="0"/>
    <xf numFmtId="164" fontId="20" fillId="0" borderId="0" pivotButton="0" quotePrefix="0" xfId="0"/>
    <xf numFmtId="0" fontId="21" fillId="2" borderId="2" applyAlignment="1" pivotButton="0" quotePrefix="0" xfId="0">
      <alignment horizontal="center"/>
    </xf>
    <xf numFmtId="0" fontId="21" fillId="3" borderId="2" applyAlignment="1" pivotButton="0" quotePrefix="0" xfId="0">
      <alignment horizontal="center"/>
    </xf>
    <xf numFmtId="0" fontId="22" fillId="4" borderId="2" pivotButton="0" quotePrefix="0" xfId="0"/>
    <xf numFmtId="0" fontId="22" fillId="0" borderId="2" applyAlignment="1" pivotButton="0" quotePrefix="0" xfId="0">
      <alignment horizontal="center"/>
    </xf>
    <xf numFmtId="0" fontId="20" fillId="0" borderId="2" pivotButton="0" quotePrefix="0" xfId="0"/>
    <xf numFmtId="0" fontId="20" fillId="0" borderId="2" applyAlignment="1" pivotButton="0" quotePrefix="0" xfId="0">
      <alignment horizontal="center"/>
    </xf>
    <xf numFmtId="0" fontId="22" fillId="4" borderId="2" applyAlignment="1" pivotButton="0" quotePrefix="0" xfId="0">
      <alignment horizontal="left"/>
    </xf>
    <xf numFmtId="0" fontId="22" fillId="4" borderId="2" applyAlignment="1" pivotButton="0" quotePrefix="0" xfId="0">
      <alignment horizontal="center"/>
    </xf>
    <xf numFmtId="0" fontId="22" fillId="0" borderId="2" pivotButton="0" quotePrefix="0" xfId="0"/>
    <xf numFmtId="0" fontId="22" fillId="5" borderId="2" applyAlignment="1" pivotButton="0" quotePrefix="0" xfId="0">
      <alignment horizontal="left"/>
    </xf>
    <xf numFmtId="0" fontId="22" fillId="5" borderId="2" applyAlignment="1" pivotButton="0" quotePrefix="0" xfId="0">
      <alignment horizontal="center"/>
    </xf>
    <xf numFmtId="0" fontId="23" fillId="0" borderId="2" applyAlignment="1" pivotButton="0" quotePrefix="0" xfId="0">
      <alignment horizontal="left"/>
    </xf>
    <xf numFmtId="0" fontId="24" fillId="0" borderId="2" pivotButton="0" quotePrefix="0" xfId="0"/>
    <xf numFmtId="0" fontId="20" fillId="0" borderId="2" applyAlignment="1" pivotButton="0" quotePrefix="0" xfId="0">
      <alignment horizontal="left"/>
    </xf>
    <xf numFmtId="0" fontId="22" fillId="6" borderId="2" applyAlignment="1" pivotButton="0" quotePrefix="0" xfId="0">
      <alignment horizontal="center"/>
    </xf>
    <xf numFmtId="0" fontId="21" fillId="3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right"/>
    </xf>
    <xf numFmtId="0" fontId="20" fillId="5" borderId="2" pivotButton="0" quotePrefix="0" xfId="0"/>
    <xf numFmtId="0" fontId="23" fillId="0" borderId="2" pivotButton="0" quotePrefix="0" xfId="0"/>
    <xf numFmtId="0" fontId="25" fillId="0" borderId="2" applyAlignment="1" pivotButton="0" quotePrefix="0" xfId="0">
      <alignment horizontal="left"/>
    </xf>
    <xf numFmtId="0" fontId="20" fillId="0" borderId="1" pivotButton="0" quotePrefix="0" xfId="0"/>
    <xf numFmtId="0" fontId="26" fillId="0" borderId="2" applyAlignment="1" pivotButton="0" quotePrefix="0" xfId="0">
      <alignment horizontal="left"/>
    </xf>
    <xf numFmtId="0" fontId="27" fillId="0" borderId="2" applyAlignment="1" pivotButton="0" quotePrefix="0" xfId="0">
      <alignment horizontal="left"/>
    </xf>
    <xf numFmtId="0" fontId="28" fillId="0" borderId="2" applyAlignment="1" pivotButton="0" quotePrefix="0" xfId="0">
      <alignment horizontal="left"/>
    </xf>
    <xf numFmtId="0" fontId="20" fillId="3" borderId="2" pivotButton="0" quotePrefix="0" xfId="0"/>
    <xf numFmtId="0" fontId="21" fillId="7" borderId="2" applyAlignment="1" pivotButton="0" quotePrefix="0" xfId="0">
      <alignment horizontal="center"/>
    </xf>
    <xf numFmtId="0" fontId="29" fillId="8" borderId="2" applyAlignment="1" pivotButton="0" quotePrefix="0" xfId="0">
      <alignment horizontal="center"/>
    </xf>
    <xf numFmtId="0" fontId="20" fillId="8" borderId="2" applyAlignment="1" pivotButton="0" quotePrefix="0" xfId="0">
      <alignment horizontal="center"/>
    </xf>
    <xf numFmtId="0" fontId="29" fillId="9" borderId="2" applyAlignment="1" pivotButton="0" quotePrefix="0" xfId="0">
      <alignment horizontal="center"/>
    </xf>
    <xf numFmtId="0" fontId="20" fillId="9" borderId="2" applyAlignment="1" pivotButton="0" quotePrefix="0" xfId="0">
      <alignment horizontal="center"/>
    </xf>
    <xf numFmtId="0" fontId="29" fillId="10" borderId="2" applyAlignment="1" pivotButton="0" quotePrefix="0" xfId="0">
      <alignment horizontal="center"/>
    </xf>
    <xf numFmtId="0" fontId="20" fillId="10" borderId="2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0" fontId="20" fillId="11" borderId="2" applyAlignment="1" pivotButton="0" quotePrefix="0" xfId="0">
      <alignment horizontal="center"/>
    </xf>
    <xf numFmtId="0" fontId="21" fillId="2" borderId="0" applyAlignment="1" pivotButton="0" quotePrefix="0" xfId="0">
      <alignment horizontal="left" vertical="center"/>
    </xf>
    <xf numFmtId="0" fontId="20" fillId="2" borderId="0" pivotButton="0" quotePrefix="0" xfId="0"/>
    <xf numFmtId="0" fontId="25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28" fillId="0" borderId="1" applyAlignment="1" pivotButton="0" quotePrefix="0" xfId="0">
      <alignment horizontal="left"/>
    </xf>
    <xf numFmtId="0" fontId="32" fillId="0" borderId="0" pivotButton="0" quotePrefix="0" xfId="0"/>
    <xf numFmtId="0" fontId="26" fillId="0" borderId="1" pivotButton="0" quotePrefix="0" xfId="0"/>
    <xf numFmtId="0" fontId="27" fillId="0" borderId="1" pivotButton="0" quotePrefix="0" xfId="0"/>
    <xf numFmtId="0" fontId="22" fillId="0" borderId="1" pivotButton="0" quotePrefix="0" xfId="0"/>
    <xf numFmtId="0" fontId="22" fillId="4" borderId="1" pivotButton="0" quotePrefix="0" xfId="0"/>
    <xf numFmtId="0" fontId="22" fillId="4" borderId="1" applyAlignment="1" pivotButton="0" quotePrefix="0" xfId="0">
      <alignment horizontal="center"/>
    </xf>
    <xf numFmtId="0" fontId="29" fillId="0" borderId="1" pivotButton="0" quotePrefix="0" xfId="0"/>
    <xf numFmtId="0" fontId="20" fillId="0" borderId="1" applyAlignment="1" pivotButton="0" quotePrefix="0" xfId="0">
      <alignment horizontal="center"/>
    </xf>
    <xf numFmtId="0" fontId="22" fillId="5" borderId="1" pivotButton="0" quotePrefix="0" xfId="0"/>
    <xf numFmtId="0" fontId="22" fillId="5" borderId="1" applyAlignment="1" pivotButton="0" quotePrefix="0" xfId="0">
      <alignment horizontal="center"/>
    </xf>
    <xf numFmtId="0" fontId="26" fillId="0" borderId="1" applyAlignment="1" pivotButton="0" quotePrefix="0" xfId="0">
      <alignment horizontal="left"/>
    </xf>
    <xf numFmtId="0" fontId="27" fillId="0" borderId="1" applyAlignment="1" pivotButton="0" quotePrefix="0" xfId="0">
      <alignment horizontal="left"/>
    </xf>
    <xf numFmtId="0" fontId="28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5" borderId="2" applyAlignment="1" pivotButton="0" quotePrefix="0" xfId="0">
      <alignment horizontal="center"/>
    </xf>
    <xf numFmtId="0" fontId="33" fillId="5" borderId="2" applyAlignment="1" pivotButton="0" quotePrefix="0" xfId="0">
      <alignment horizontal="center"/>
    </xf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3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46302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BKK27</t>
        </is>
      </c>
      <c r="B2" s="2" t="n">
        <v>46317</v>
      </c>
      <c r="C2" s="1" t="n">
        <v>1</v>
      </c>
      <c r="D2" s="1" t="n">
        <v>0</v>
      </c>
    </row>
    <row r="3" ht="13" customHeight="1">
      <c r="A3" s="1" t="inlineStr">
        <is>
          <t>LCH27</t>
        </is>
      </c>
      <c r="B3" s="2" t="n">
        <v>46312</v>
      </c>
      <c r="C3" s="1" t="n">
        <v>1</v>
      </c>
      <c r="D3" s="1" t="n">
        <v>0</v>
      </c>
    </row>
    <row r="4" ht="13" customHeight="1">
      <c r="A4" s="1" t="inlineStr">
        <is>
          <t>LCH27</t>
        </is>
      </c>
      <c r="B4" s="2" t="n">
        <v>46309</v>
      </c>
      <c r="C4" s="1" t="n">
        <v>1</v>
      </c>
      <c r="D4" s="1" t="n">
        <v>0</v>
      </c>
    </row>
    <row r="5" ht="13" customHeight="1">
      <c r="A5" s="1" t="inlineStr">
        <is>
          <t>BKK27</t>
        </is>
      </c>
      <c r="B5" s="2" t="n">
        <v>46311</v>
      </c>
      <c r="C5" s="1" t="n">
        <v>1</v>
      </c>
      <c r="D5" s="1" t="n">
        <v>0</v>
      </c>
    </row>
    <row r="6" ht="13" customHeight="1">
      <c r="A6" s="1" t="inlineStr">
        <is>
          <t>BKK27</t>
        </is>
      </c>
      <c r="B6" s="2" t="n">
        <v>46304</v>
      </c>
      <c r="C6" s="1" t="n">
        <v>1</v>
      </c>
      <c r="D6" s="1" t="n">
        <v>0</v>
      </c>
    </row>
    <row r="7" ht="13" customHeight="1">
      <c r="A7" s="1" t="inlineStr">
        <is>
          <t>LCH27</t>
        </is>
      </c>
      <c r="B7" s="2" t="n">
        <v>46310</v>
      </c>
      <c r="C7" s="1" t="n">
        <v>1</v>
      </c>
      <c r="D7" s="1" t="n">
        <v>0</v>
      </c>
    </row>
    <row r="8" ht="13" customHeight="1">
      <c r="A8" s="1" t="inlineStr">
        <is>
          <t>BKK27</t>
        </is>
      </c>
      <c r="B8" s="2" t="n">
        <v>46309</v>
      </c>
      <c r="C8" s="1" t="n">
        <v>1</v>
      </c>
      <c r="D8" s="1" t="n">
        <v>0</v>
      </c>
    </row>
    <row r="9" ht="13" customHeight="1">
      <c r="A9" s="1" t="inlineStr">
        <is>
          <t>BKK27</t>
        </is>
      </c>
      <c r="B9" s="2" t="n">
        <v>46309</v>
      </c>
      <c r="C9" s="1" t="n">
        <v>1</v>
      </c>
      <c r="D9" s="1" t="n">
        <v>0</v>
      </c>
    </row>
    <row r="10" ht="13" customHeight="1">
      <c r="A10" s="1" t="inlineStr">
        <is>
          <t>BKK27</t>
        </is>
      </c>
      <c r="B10" s="2" t="n">
        <v>46317</v>
      </c>
      <c r="C10" s="1" t="n">
        <v>1</v>
      </c>
      <c r="D10" s="1" t="n">
        <v>0</v>
      </c>
    </row>
    <row r="11" ht="13" customHeight="1">
      <c r="A11" s="1" t="inlineStr">
        <is>
          <t>BKK27</t>
        </is>
      </c>
      <c r="B11" s="2" t="n">
        <v>46305</v>
      </c>
      <c r="C11" s="1" t="n">
        <v>1</v>
      </c>
      <c r="D11" s="1" t="n">
        <v>0</v>
      </c>
    </row>
    <row r="12" ht="13" customHeight="1">
      <c r="A12" s="1" t="inlineStr">
        <is>
          <t>BKK27</t>
        </is>
      </c>
      <c r="B12" s="2" t="n">
        <v>46319</v>
      </c>
      <c r="C12" s="1" t="n">
        <v>0</v>
      </c>
      <c r="D12" s="1" t="n">
        <v>1</v>
      </c>
    </row>
    <row r="13" ht="13" customHeight="1">
      <c r="A13" s="1" t="inlineStr">
        <is>
          <t>LCH27</t>
        </is>
      </c>
      <c r="B13" s="2" t="n">
        <v>46312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46314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46319</v>
      </c>
      <c r="C15" s="1" t="n">
        <v>0</v>
      </c>
      <c r="D15" s="1" t="n">
        <v>1</v>
      </c>
    </row>
    <row r="16" ht="13" customHeight="1">
      <c r="A16" s="1" t="inlineStr">
        <is>
          <t>LCH27</t>
        </is>
      </c>
      <c r="B16" s="2" t="n">
        <v>46314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46315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46312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46303</v>
      </c>
      <c r="C19" s="1" t="n">
        <v>0</v>
      </c>
      <c r="D19" s="1" t="n">
        <v>1</v>
      </c>
    </row>
    <row r="20" ht="13" customHeight="1">
      <c r="A20" s="1" t="inlineStr">
        <is>
          <t>LCH27</t>
        </is>
      </c>
      <c r="B20" s="2" t="n">
        <v>46307</v>
      </c>
      <c r="C20" s="1" t="n">
        <v>0</v>
      </c>
      <c r="D20" s="1" t="n">
        <v>1</v>
      </c>
    </row>
    <row r="21" ht="13" customHeight="1">
      <c r="A21" s="1" t="inlineStr">
        <is>
          <t>LCH27</t>
        </is>
      </c>
      <c r="B21" s="2" t="n">
        <v>46312</v>
      </c>
      <c r="C21" s="1" t="n">
        <v>0</v>
      </c>
      <c r="D21" s="1" t="n">
        <v>1</v>
      </c>
    </row>
    <row r="22" ht="13" customHeight="1">
      <c r="A22" s="1" t="inlineStr">
        <is>
          <t>LCH27</t>
        </is>
      </c>
      <c r="B22" s="2" t="n">
        <v>46307</v>
      </c>
      <c r="C22" s="1" t="n">
        <v>0</v>
      </c>
      <c r="D22" s="1" t="n">
        <v>1</v>
      </c>
    </row>
    <row r="23" ht="13" customHeight="1">
      <c r="A23" s="1" t="inlineStr">
        <is>
          <t>BKK27</t>
        </is>
      </c>
      <c r="B23" s="2" t="n">
        <v>46303</v>
      </c>
      <c r="C23" s="1" t="n">
        <v>0</v>
      </c>
      <c r="D23" s="1" t="n">
        <v>1</v>
      </c>
    </row>
    <row r="24" ht="13" customHeight="1">
      <c r="A24" s="1" t="inlineStr">
        <is>
          <t>LCH27</t>
        </is>
      </c>
      <c r="B24" s="2" t="n">
        <v>46304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46316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46307</v>
      </c>
      <c r="C26" s="1" t="n">
        <v>0</v>
      </c>
      <c r="D26" s="1" t="n">
        <v>1</v>
      </c>
    </row>
    <row r="27" ht="13" customHeight="1">
      <c r="A27" s="1" t="inlineStr">
        <is>
          <t>BKK27</t>
        </is>
      </c>
      <c r="B27" s="2" t="n">
        <v>46314</v>
      </c>
      <c r="C27" s="1" t="n">
        <v>0</v>
      </c>
      <c r="D27" s="1" t="n">
        <v>1</v>
      </c>
    </row>
    <row r="28" ht="13" customHeight="1">
      <c r="A28" s="1" t="inlineStr">
        <is>
          <t>BKK27</t>
        </is>
      </c>
      <c r="B28" s="2" t="n">
        <v>46319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46314</v>
      </c>
      <c r="C29" s="1" t="n">
        <v>0</v>
      </c>
      <c r="D29" s="1" t="n">
        <v>1</v>
      </c>
    </row>
    <row r="30" ht="13" customHeight="1">
      <c r="A30" s="1" t="inlineStr">
        <is>
          <t>LCH27</t>
        </is>
      </c>
      <c r="B30" s="2" t="n">
        <v>46307</v>
      </c>
      <c r="C30" s="1" t="n">
        <v>0</v>
      </c>
      <c r="D30" s="1" t="n">
        <v>1</v>
      </c>
    </row>
    <row r="31" ht="13" customHeight="1">
      <c r="A31" s="1" t="inlineStr">
        <is>
          <t>LCH27</t>
        </is>
      </c>
      <c r="B31" s="2" t="n">
        <v>46307</v>
      </c>
      <c r="C31" s="1" t="n">
        <v>0</v>
      </c>
      <c r="D31" s="1" t="n">
        <v>1</v>
      </c>
    </row>
    <row r="32" ht="13" customHeight="1">
      <c r="A32" s="1" t="inlineStr">
        <is>
          <t>LCH27</t>
        </is>
      </c>
      <c r="B32" s="2" t="n">
        <v>46305</v>
      </c>
      <c r="C32" s="1" t="n">
        <v>0</v>
      </c>
      <c r="D32" s="1" t="n">
        <v>1</v>
      </c>
    </row>
    <row r="33" ht="13" customHeight="1">
      <c r="A33" s="1" t="inlineStr">
        <is>
          <t>LCH27</t>
        </is>
      </c>
      <c r="B33" s="2" t="n">
        <v>46304</v>
      </c>
      <c r="C33" s="1" t="n">
        <v>0</v>
      </c>
      <c r="D33" s="1" t="n">
        <v>1</v>
      </c>
    </row>
    <row r="34" ht="13" customHeight="1">
      <c r="A34" s="1" t="inlineStr">
        <is>
          <t>BKK27</t>
        </is>
      </c>
      <c r="B34" s="2" t="n">
        <v>46305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46315</v>
      </c>
      <c r="C35" s="1" t="n">
        <v>0</v>
      </c>
      <c r="D35" s="1" t="n">
        <v>1</v>
      </c>
    </row>
    <row r="36" ht="13" customHeight="1">
      <c r="A36" s="1" t="inlineStr">
        <is>
          <t>BKK27</t>
        </is>
      </c>
      <c r="B36" s="2" t="n">
        <v>46314</v>
      </c>
      <c r="C36" s="1" t="n">
        <v>0</v>
      </c>
      <c r="D36" s="1" t="n">
        <v>1</v>
      </c>
    </row>
    <row r="37" ht="13" customHeight="1">
      <c r="A37" s="1" t="inlineStr">
        <is>
          <t>BKK27</t>
        </is>
      </c>
      <c r="B37" s="2" t="n">
        <v>46302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46312</v>
      </c>
      <c r="C38" s="1" t="n">
        <v>0</v>
      </c>
      <c r="D38" s="1" t="n">
        <v>1</v>
      </c>
    </row>
    <row r="39" ht="13" customHeight="1">
      <c r="A39" s="1" t="inlineStr">
        <is>
          <t>BKK27</t>
        </is>
      </c>
      <c r="B39" s="2" t="n">
        <v>46305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46308</v>
      </c>
      <c r="C40" s="1" t="n">
        <v>0</v>
      </c>
      <c r="D40" s="1" t="n">
        <v>1</v>
      </c>
    </row>
    <row r="41" ht="13" customHeight="1">
      <c r="A41" s="1" t="inlineStr">
        <is>
          <t>LCH27</t>
        </is>
      </c>
      <c r="B41" s="2" t="n">
        <v>46311</v>
      </c>
      <c r="C41" s="1" t="n">
        <v>0</v>
      </c>
      <c r="D41" s="1" t="n">
        <v>1</v>
      </c>
    </row>
    <row r="42" ht="13" customHeight="1">
      <c r="A42" s="1" t="inlineStr">
        <is>
          <t>LCH27</t>
        </is>
      </c>
      <c r="B42" s="2" t="n">
        <v>46307</v>
      </c>
      <c r="C42" s="1" t="n">
        <v>0</v>
      </c>
      <c r="D42" s="1" t="n">
        <v>1</v>
      </c>
    </row>
    <row r="43" ht="13" customHeight="1">
      <c r="A43" s="1" t="inlineStr">
        <is>
          <t>LCH27</t>
        </is>
      </c>
      <c r="B43" s="2" t="n">
        <v>46312</v>
      </c>
      <c r="C43" s="1" t="n">
        <v>0</v>
      </c>
      <c r="D43" s="1" t="n">
        <v>1</v>
      </c>
    </row>
    <row r="44" ht="13" customHeight="1">
      <c r="A44" s="1" t="inlineStr">
        <is>
          <t>LCH27</t>
        </is>
      </c>
      <c r="B44" s="2" t="n">
        <v>46307</v>
      </c>
      <c r="C44" s="1" t="n">
        <v>0</v>
      </c>
      <c r="D44" s="1" t="n">
        <v>1</v>
      </c>
    </row>
    <row r="45" ht="13" customHeight="1">
      <c r="A45" s="1" t="inlineStr">
        <is>
          <t>LCH27</t>
        </is>
      </c>
      <c r="B45" s="2" t="n">
        <v>46314</v>
      </c>
      <c r="C45" s="1" t="n">
        <v>0</v>
      </c>
      <c r="D45" s="1" t="n">
        <v>1</v>
      </c>
    </row>
    <row r="46" ht="13" customHeight="1">
      <c r="A46" s="1" t="inlineStr">
        <is>
          <t>LCH27</t>
        </is>
      </c>
      <c r="B46" s="2" t="n">
        <v>46310</v>
      </c>
      <c r="C46" s="1" t="n">
        <v>0</v>
      </c>
      <c r="D46" s="1" t="n">
        <v>1</v>
      </c>
    </row>
    <row r="47" ht="13" customHeight="1">
      <c r="A47" s="1" t="inlineStr">
        <is>
          <t>LCH27</t>
        </is>
      </c>
      <c r="B47" s="2" t="n">
        <v>46311</v>
      </c>
      <c r="C47" s="1" t="n">
        <v>0</v>
      </c>
      <c r="D47" s="1" t="n">
        <v>1</v>
      </c>
    </row>
    <row r="48" ht="13" customHeight="1">
      <c r="A48" s="1" t="inlineStr">
        <is>
          <t>LCH27</t>
        </is>
      </c>
      <c r="B48" s="2" t="n">
        <v>46317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46304</v>
      </c>
      <c r="C49" s="1" t="n">
        <v>0</v>
      </c>
      <c r="D49" s="1" t="n">
        <v>1</v>
      </c>
    </row>
    <row r="50" ht="13" customHeight="1">
      <c r="A50" s="1" t="inlineStr">
        <is>
          <t>LCH27</t>
        </is>
      </c>
      <c r="B50" s="2" t="n">
        <v>46304</v>
      </c>
      <c r="C50" s="1" t="n">
        <v>0</v>
      </c>
      <c r="D50" s="1" t="n">
        <v>1</v>
      </c>
    </row>
    <row r="51" ht="13" customHeight="1">
      <c r="A51" s="1" t="inlineStr">
        <is>
          <t>LCH27</t>
        </is>
      </c>
      <c r="B51" s="2" t="n">
        <v>46310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46302</v>
      </c>
      <c r="C52" s="1" t="n">
        <v>0</v>
      </c>
      <c r="D52" s="1" t="n">
        <v>1</v>
      </c>
    </row>
    <row r="53" ht="13" customHeight="1">
      <c r="A53" s="1" t="inlineStr">
        <is>
          <t>LCH27</t>
        </is>
      </c>
      <c r="B53" s="2" t="n">
        <v>46307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46308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46312</v>
      </c>
      <c r="C55" s="1" t="n">
        <v>0</v>
      </c>
      <c r="D55" s="1" t="n">
        <v>1</v>
      </c>
    </row>
    <row r="56" ht="13" customHeight="1">
      <c r="A56" s="1" t="inlineStr">
        <is>
          <t>LCH27</t>
        </is>
      </c>
      <c r="B56" s="2" t="n">
        <v>46312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46319</v>
      </c>
      <c r="C57" s="1" t="n">
        <v>0</v>
      </c>
      <c r="D57" s="1" t="n">
        <v>1</v>
      </c>
    </row>
    <row r="58" ht="13" customHeight="1">
      <c r="A58" s="1" t="inlineStr">
        <is>
          <t>BKK27</t>
        </is>
      </c>
      <c r="B58" s="2" t="n">
        <v>46319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46314</v>
      </c>
      <c r="C59" s="1" t="n">
        <v>0</v>
      </c>
      <c r="D59" s="1" t="n">
        <v>1</v>
      </c>
    </row>
    <row r="60" ht="13" customHeight="1">
      <c r="A60" s="1" t="inlineStr">
        <is>
          <t>LCH27</t>
        </is>
      </c>
      <c r="B60" s="2" t="n">
        <v>46314</v>
      </c>
      <c r="C60" s="1" t="n">
        <v>0</v>
      </c>
      <c r="D60" s="1" t="n">
        <v>1</v>
      </c>
    </row>
    <row r="61" ht="13" customHeight="1">
      <c r="A61" s="1" t="inlineStr">
        <is>
          <t>BKK27</t>
        </is>
      </c>
      <c r="B61" s="2" t="n">
        <v>46307</v>
      </c>
      <c r="C61" s="1" t="n">
        <v>0</v>
      </c>
      <c r="D61" s="1" t="n">
        <v>1</v>
      </c>
    </row>
    <row r="62" ht="13" customHeight="1">
      <c r="A62" s="1" t="inlineStr">
        <is>
          <t>LCH27</t>
        </is>
      </c>
      <c r="B62" s="2" t="n">
        <v>46312</v>
      </c>
      <c r="C62" s="1" t="n">
        <v>0</v>
      </c>
      <c r="D62" s="1" t="n">
        <v>1</v>
      </c>
    </row>
    <row r="63" ht="13" customHeight="1">
      <c r="A63" s="1" t="inlineStr">
        <is>
          <t>LCH27</t>
        </is>
      </c>
      <c r="B63" s="2" t="n">
        <v>46312</v>
      </c>
      <c r="C63" s="1" t="n">
        <v>0</v>
      </c>
      <c r="D63" s="1" t="n">
        <v>1</v>
      </c>
    </row>
    <row r="64" ht="13" customHeight="1">
      <c r="A64" s="1" t="inlineStr">
        <is>
          <t>LCH27</t>
        </is>
      </c>
      <c r="B64" s="2" t="n">
        <v>46317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46304</v>
      </c>
      <c r="C65" s="1" t="n">
        <v>0</v>
      </c>
      <c r="D65" s="1" t="n">
        <v>1</v>
      </c>
    </row>
    <row r="66" ht="13" customHeight="1">
      <c r="A66" s="1" t="inlineStr">
        <is>
          <t>LCH27</t>
        </is>
      </c>
      <c r="B66" s="2" t="n">
        <v>46312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46319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46311</v>
      </c>
      <c r="C68" s="1" t="n">
        <v>0</v>
      </c>
      <c r="D68" s="1" t="n">
        <v>1</v>
      </c>
    </row>
    <row r="69" ht="13" customHeight="1">
      <c r="A69" s="1" t="inlineStr">
        <is>
          <t>BKK27</t>
        </is>
      </c>
      <c r="B69" s="2" t="n">
        <v>46302</v>
      </c>
      <c r="C69" s="1" t="n">
        <v>0</v>
      </c>
      <c r="D69" s="1" t="n">
        <v>1</v>
      </c>
    </row>
    <row r="70" ht="13" customHeight="1">
      <c r="A70" s="1" t="inlineStr">
        <is>
          <t>BKK27</t>
        </is>
      </c>
      <c r="B70" s="2" t="n">
        <v>46319</v>
      </c>
      <c r="C70" s="1" t="n">
        <v>0</v>
      </c>
      <c r="D70" s="1" t="n">
        <v>1</v>
      </c>
    </row>
    <row r="71" ht="13" customHeight="1">
      <c r="A71" s="1" t="inlineStr">
        <is>
          <t>BKK27</t>
        </is>
      </c>
      <c r="B71" s="2" t="n">
        <v>46319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46302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46317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46314</v>
      </c>
      <c r="C74" s="1" t="n">
        <v>0</v>
      </c>
      <c r="D74" s="1" t="n">
        <v>1</v>
      </c>
    </row>
    <row r="75" ht="13" customHeight="1">
      <c r="A75" s="1" t="inlineStr">
        <is>
          <t>LCH27</t>
        </is>
      </c>
      <c r="B75" s="2" t="n">
        <v>46304</v>
      </c>
      <c r="C75" s="1" t="n">
        <v>0</v>
      </c>
      <c r="D75" s="1" t="n">
        <v>1</v>
      </c>
    </row>
    <row r="76" ht="13" customHeight="1">
      <c r="A76" s="1" t="inlineStr">
        <is>
          <t>BKK27</t>
        </is>
      </c>
      <c r="B76" s="2" t="n">
        <v>46319</v>
      </c>
      <c r="C76" s="1" t="n">
        <v>0</v>
      </c>
      <c r="D76" s="1" t="n">
        <v>1</v>
      </c>
    </row>
    <row r="77" ht="13" customHeight="1">
      <c r="A77" s="1" t="inlineStr">
        <is>
          <t>LCH27</t>
        </is>
      </c>
      <c r="B77" s="2" t="n">
        <v>46307</v>
      </c>
      <c r="C77" s="1" t="n">
        <v>0</v>
      </c>
      <c r="D77" s="1" t="n">
        <v>1</v>
      </c>
    </row>
    <row r="78" ht="13" customHeight="1">
      <c r="A78" s="1" t="inlineStr">
        <is>
          <t>BKK27</t>
        </is>
      </c>
      <c r="B78" s="2" t="n">
        <v>46319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46304</v>
      </c>
      <c r="C79" s="1" t="n">
        <v>0</v>
      </c>
      <c r="D79" s="1" t="n">
        <v>1</v>
      </c>
    </row>
    <row r="80" ht="13" customHeight="1">
      <c r="A80" s="1" t="inlineStr">
        <is>
          <t>LCH27</t>
        </is>
      </c>
      <c r="B80" s="2" t="n">
        <v>46304</v>
      </c>
      <c r="C80" s="1" t="n">
        <v>0</v>
      </c>
      <c r="D80" s="1" t="n">
        <v>1</v>
      </c>
    </row>
    <row r="81" ht="13" customHeight="1">
      <c r="A81" s="1" t="inlineStr">
        <is>
          <t>BKK27</t>
        </is>
      </c>
      <c r="B81" s="2" t="n">
        <v>46319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46311</v>
      </c>
      <c r="C82" s="1" t="n">
        <v>0</v>
      </c>
      <c r="D82" s="1" t="n">
        <v>1</v>
      </c>
    </row>
    <row r="83" ht="13" customHeight="1">
      <c r="A83" s="1" t="inlineStr">
        <is>
          <t>BKK27</t>
        </is>
      </c>
      <c r="B83" s="2" t="n">
        <v>46302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46305</v>
      </c>
      <c r="C84" s="1" t="n">
        <v>0</v>
      </c>
      <c r="D84" s="1" t="n">
        <v>1</v>
      </c>
    </row>
    <row r="85" ht="13" customHeight="1">
      <c r="A85" s="1" t="inlineStr">
        <is>
          <t>LCH27</t>
        </is>
      </c>
      <c r="B85" s="2" t="n">
        <v>46318</v>
      </c>
      <c r="C85" s="1" t="n">
        <v>0</v>
      </c>
      <c r="D85" s="1" t="n">
        <v>1</v>
      </c>
    </row>
    <row r="86" ht="13" customHeight="1">
      <c r="A86" s="1" t="inlineStr">
        <is>
          <t>LCH27</t>
        </is>
      </c>
      <c r="B86" s="2" t="n">
        <v>46312</v>
      </c>
      <c r="C86" s="1" t="n">
        <v>0</v>
      </c>
      <c r="D86" s="1" t="n">
        <v>1</v>
      </c>
    </row>
    <row r="87" ht="13" customHeight="1">
      <c r="A87" s="1" t="inlineStr">
        <is>
          <t>BKK27</t>
        </is>
      </c>
      <c r="B87" s="2" t="n">
        <v>46315</v>
      </c>
      <c r="C87" s="1" t="n">
        <v>0</v>
      </c>
      <c r="D87" s="1" t="n">
        <v>1</v>
      </c>
    </row>
    <row r="88" ht="13" customHeight="1">
      <c r="A88" s="1" t="inlineStr">
        <is>
          <t>BKK27</t>
        </is>
      </c>
      <c r="B88" s="2" t="n">
        <v>46305</v>
      </c>
      <c r="C88" s="1" t="n">
        <v>0</v>
      </c>
      <c r="D88" s="1" t="n">
        <v>1</v>
      </c>
    </row>
    <row r="89" ht="13" customHeight="1">
      <c r="A89" s="1" t="inlineStr">
        <is>
          <t>LCH27</t>
        </is>
      </c>
      <c r="B89" s="2" t="n">
        <v>46307</v>
      </c>
      <c r="C89" s="1" t="n">
        <v>0</v>
      </c>
      <c r="D89" s="1" t="n">
        <v>1</v>
      </c>
    </row>
    <row r="90" ht="13" customHeight="1">
      <c r="A90" s="1" t="inlineStr">
        <is>
          <t>LCH27</t>
        </is>
      </c>
      <c r="B90" s="2" t="n">
        <v>46315</v>
      </c>
      <c r="C90" s="1" t="n">
        <v>0</v>
      </c>
      <c r="D90" s="1" t="n">
        <v>1</v>
      </c>
    </row>
    <row r="91" ht="13" customHeight="1">
      <c r="A91" s="1" t="inlineStr">
        <is>
          <t>LCH27</t>
        </is>
      </c>
      <c r="B91" s="2" t="n">
        <v>46307</v>
      </c>
      <c r="C91" s="1" t="n">
        <v>0</v>
      </c>
      <c r="D91" s="1" t="n">
        <v>1</v>
      </c>
    </row>
    <row r="92" ht="13" customHeight="1">
      <c r="A92" s="1" t="inlineStr">
        <is>
          <t>BKK27</t>
        </is>
      </c>
      <c r="B92" s="2" t="n">
        <v>46302</v>
      </c>
      <c r="C92" s="1" t="n">
        <v>0</v>
      </c>
      <c r="D92" s="1" t="n">
        <v>1</v>
      </c>
    </row>
    <row r="93" ht="13" customHeight="1">
      <c r="A93" s="1" t="inlineStr">
        <is>
          <t>LCH27</t>
        </is>
      </c>
      <c r="B93" s="2" t="n">
        <v>46307</v>
      </c>
      <c r="C93" s="1" t="n">
        <v>0</v>
      </c>
      <c r="D93" s="1" t="n">
        <v>1</v>
      </c>
    </row>
    <row r="94" ht="13" customHeight="1">
      <c r="A94" s="1" t="inlineStr">
        <is>
          <t>LCH27</t>
        </is>
      </c>
      <c r="B94" s="2" t="n">
        <v>46305</v>
      </c>
      <c r="C94" s="1" t="n">
        <v>0</v>
      </c>
      <c r="D94" s="1" t="n">
        <v>1</v>
      </c>
    </row>
    <row r="95" ht="13" customHeight="1">
      <c r="A95" s="1" t="inlineStr">
        <is>
          <t>BKK27</t>
        </is>
      </c>
      <c r="B95" s="2" t="n">
        <v>46307</v>
      </c>
      <c r="C95" s="1" t="n">
        <v>0</v>
      </c>
      <c r="D95" s="1" t="n">
        <v>1</v>
      </c>
    </row>
    <row r="96" ht="13" customHeight="1">
      <c r="A96" s="1" t="inlineStr">
        <is>
          <t>LCH27</t>
        </is>
      </c>
      <c r="B96" s="2" t="n">
        <v>46312</v>
      </c>
      <c r="C96" s="1" t="n">
        <v>0</v>
      </c>
      <c r="D96" s="1" t="n">
        <v>1</v>
      </c>
    </row>
    <row r="97" ht="13" customHeight="1">
      <c r="A97" s="1" t="inlineStr">
        <is>
          <t>LCH27</t>
        </is>
      </c>
      <c r="B97" s="2" t="n">
        <v>46304</v>
      </c>
      <c r="C97" s="1" t="n">
        <v>0</v>
      </c>
      <c r="D97" s="1" t="n">
        <v>1</v>
      </c>
    </row>
    <row r="98" ht="13" customHeight="1">
      <c r="A98" s="1" t="inlineStr">
        <is>
          <t>BKK27</t>
        </is>
      </c>
      <c r="B98" s="2" t="n">
        <v>46303</v>
      </c>
      <c r="C98" s="1" t="n">
        <v>0</v>
      </c>
      <c r="D98" s="1" t="n">
        <v>1</v>
      </c>
    </row>
    <row r="99" ht="13" customHeight="1">
      <c r="A99" s="1" t="inlineStr">
        <is>
          <t>LCH27</t>
        </is>
      </c>
      <c r="B99" s="2" t="n">
        <v>46309</v>
      </c>
      <c r="C99" s="1" t="n">
        <v>0</v>
      </c>
      <c r="D99" s="1" t="n">
        <v>1</v>
      </c>
    </row>
    <row r="100" ht="13" customHeight="1">
      <c r="A100" s="1" t="inlineStr">
        <is>
          <t>LCH27</t>
        </is>
      </c>
      <c r="B100" s="2" t="n">
        <v>46312</v>
      </c>
      <c r="C100" s="1" t="n">
        <v>0</v>
      </c>
      <c r="D100" s="1" t="n">
        <v>1</v>
      </c>
    </row>
    <row r="101" ht="13" customHeight="1">
      <c r="A101" s="1" t="inlineStr">
        <is>
          <t>BKK27</t>
        </is>
      </c>
      <c r="B101" s="2" t="n">
        <v>46303</v>
      </c>
      <c r="C101" s="1" t="n">
        <v>0</v>
      </c>
      <c r="D101" s="1" t="n">
        <v>1</v>
      </c>
    </row>
    <row r="102" ht="13" customHeight="1">
      <c r="A102" s="1" t="inlineStr">
        <is>
          <t>LCH27</t>
        </is>
      </c>
      <c r="B102" s="2" t="n">
        <v>46314</v>
      </c>
      <c r="C102" s="1" t="n">
        <v>0</v>
      </c>
      <c r="D102" s="1" t="n">
        <v>1</v>
      </c>
    </row>
    <row r="103" ht="13" customHeight="1">
      <c r="A103" s="1" t="inlineStr">
        <is>
          <t>BKK27</t>
        </is>
      </c>
      <c r="B103" s="2" t="n">
        <v>46319</v>
      </c>
      <c r="C103" s="1" t="n">
        <v>0</v>
      </c>
      <c r="D103" s="1" t="n">
        <v>1</v>
      </c>
    </row>
    <row r="104" ht="13" customHeight="1">
      <c r="A104" s="1" t="inlineStr">
        <is>
          <t>BKK27</t>
        </is>
      </c>
      <c r="B104" s="2" t="n">
        <v>46305</v>
      </c>
      <c r="C104" s="1" t="n">
        <v>0</v>
      </c>
      <c r="D104" s="1" t="n">
        <v>1</v>
      </c>
    </row>
    <row r="105" ht="13" customHeight="1">
      <c r="A105" s="1" t="inlineStr">
        <is>
          <t>LCH27</t>
        </is>
      </c>
      <c r="B105" s="2" t="n">
        <v>46305</v>
      </c>
      <c r="C105" s="1" t="n">
        <v>0</v>
      </c>
      <c r="D105" s="1" t="n">
        <v>1</v>
      </c>
    </row>
    <row r="106" ht="13" customHeight="1">
      <c r="A106" s="1" t="inlineStr">
        <is>
          <t>BKK27</t>
        </is>
      </c>
      <c r="B106" s="2" t="n">
        <v>46303</v>
      </c>
      <c r="C106" s="1" t="n">
        <v>0</v>
      </c>
      <c r="D106" s="1" t="n">
        <v>1</v>
      </c>
    </row>
    <row r="107" ht="13" customHeight="1">
      <c r="A107" s="1" t="inlineStr">
        <is>
          <t>LCH27</t>
        </is>
      </c>
      <c r="B107" s="2" t="n">
        <v>46318</v>
      </c>
      <c r="C107" s="1" t="n">
        <v>0</v>
      </c>
      <c r="D107" s="1" t="n">
        <v>1</v>
      </c>
    </row>
    <row r="108" ht="13" customHeight="1">
      <c r="A108" s="1" t="inlineStr">
        <is>
          <t>LCH27</t>
        </is>
      </c>
      <c r="B108" s="2" t="n">
        <v>46302</v>
      </c>
      <c r="C108" s="1" t="n">
        <v>0</v>
      </c>
      <c r="D108" s="1" t="n">
        <v>1</v>
      </c>
    </row>
    <row r="109" ht="13" customHeight="1">
      <c r="A109" s="1" t="inlineStr">
        <is>
          <t>LCH27</t>
        </is>
      </c>
      <c r="B109" s="2" t="n">
        <v>46311</v>
      </c>
      <c r="C109" s="1" t="n">
        <v>0</v>
      </c>
      <c r="D109" s="1" t="n">
        <v>1</v>
      </c>
    </row>
    <row r="110" ht="13" customHeight="1">
      <c r="A110" s="1" t="inlineStr">
        <is>
          <t>LCH27</t>
        </is>
      </c>
      <c r="B110" s="2" t="n">
        <v>46303</v>
      </c>
      <c r="C110" s="1" t="n">
        <v>0</v>
      </c>
      <c r="D110" s="1" t="n">
        <v>1</v>
      </c>
    </row>
    <row r="111" ht="13" customHeight="1">
      <c r="A111" s="1" t="inlineStr">
        <is>
          <t>LCH27</t>
        </is>
      </c>
      <c r="B111" s="2" t="n">
        <v>46311</v>
      </c>
      <c r="C111" s="1" t="n">
        <v>0</v>
      </c>
      <c r="D111" s="1" t="n">
        <v>1</v>
      </c>
    </row>
    <row r="112" ht="13" customHeight="1">
      <c r="A112" s="1" t="inlineStr">
        <is>
          <t>BKK27</t>
        </is>
      </c>
      <c r="B112" s="2" t="n">
        <v>46314</v>
      </c>
      <c r="C112" s="1" t="n">
        <v>0</v>
      </c>
      <c r="D112" s="1" t="n">
        <v>1</v>
      </c>
    </row>
    <row r="113" ht="13" customHeight="1">
      <c r="A113" s="1" t="inlineStr">
        <is>
          <t>BKK27</t>
        </is>
      </c>
      <c r="B113" s="2" t="n">
        <v>46311</v>
      </c>
      <c r="C113" s="1" t="n">
        <v>0</v>
      </c>
      <c r="D113" s="1" t="n">
        <v>6</v>
      </c>
    </row>
    <row r="114" ht="13" customHeight="1">
      <c r="A114" s="1" t="inlineStr">
        <is>
          <t>BKK27</t>
        </is>
      </c>
      <c r="B114" s="2" t="n">
        <v>46304</v>
      </c>
      <c r="C114" s="1" t="n">
        <v>0</v>
      </c>
      <c r="D114" s="1" t="n">
        <v>7</v>
      </c>
    </row>
    <row r="115" ht="13" customHeight="1">
      <c r="A115" s="1" t="inlineStr">
        <is>
          <t>LCH27</t>
        </is>
      </c>
      <c r="B115" s="2" t="n">
        <v>46301</v>
      </c>
      <c r="C115" s="1" t="n">
        <v>0</v>
      </c>
      <c r="D115" s="1" t="n">
        <v>1</v>
      </c>
    </row>
    <row r="116" ht="13" customHeight="1">
      <c r="A116" s="1" t="inlineStr">
        <is>
          <t>LCH27</t>
        </is>
      </c>
      <c r="B116" s="2" t="n">
        <v>46301</v>
      </c>
      <c r="C116" s="1" t="n">
        <v>0</v>
      </c>
      <c r="D116" s="1" t="n">
        <v>1</v>
      </c>
    </row>
    <row r="117" ht="13" customHeight="1">
      <c r="A117" s="1" t="inlineStr">
        <is>
          <t>LCH27</t>
        </is>
      </c>
      <c r="B117" s="2" t="n">
        <v>46301</v>
      </c>
      <c r="C117" s="1" t="n">
        <v>0</v>
      </c>
      <c r="D117" s="1" t="n">
        <v>1</v>
      </c>
    </row>
    <row r="118" ht="13" customHeight="1">
      <c r="A118" s="1" t="inlineStr">
        <is>
          <t>LCH27</t>
        </is>
      </c>
      <c r="B118" s="2" t="n">
        <v>46298</v>
      </c>
      <c r="C118" s="1" t="n">
        <v>0</v>
      </c>
      <c r="D118" s="1" t="n">
        <v>1</v>
      </c>
    </row>
    <row r="119" ht="13" customHeight="1">
      <c r="A119" s="1" t="inlineStr">
        <is>
          <t>LCH27</t>
        </is>
      </c>
      <c r="B119" s="2" t="n">
        <v>46301</v>
      </c>
      <c r="C119" s="1" t="n">
        <v>0</v>
      </c>
      <c r="D119" s="1" t="n">
        <v>1</v>
      </c>
    </row>
    <row r="120" ht="13" customHeight="1">
      <c r="A120" s="1" t="inlineStr">
        <is>
          <t>LCH27</t>
        </is>
      </c>
      <c r="B120" s="2" t="n">
        <v>46298</v>
      </c>
      <c r="C120" s="1" t="n">
        <v>0</v>
      </c>
      <c r="D120" s="1" t="n">
        <v>1</v>
      </c>
    </row>
    <row r="121" ht="13" customHeight="1">
      <c r="A121" s="1" t="inlineStr">
        <is>
          <t>LCH27</t>
        </is>
      </c>
      <c r="B121" s="2" t="n">
        <v>46301</v>
      </c>
      <c r="C121" s="1" t="n">
        <v>0</v>
      </c>
      <c r="D121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OER</t>
        </is>
      </c>
    </row>
    <row r="4" ht="13" customHeight="1">
      <c r="A4" s="1" t="inlineStr">
        <is>
          <t>LCH27</t>
        </is>
      </c>
      <c r="B4" s="1" t="inlineStr">
        <is>
          <t>45RE</t>
        </is>
      </c>
      <c r="C4" s="1" t="inlineStr">
        <is>
          <t>OER</t>
        </is>
      </c>
    </row>
    <row r="5" ht="13" customHeight="1">
      <c r="A5" s="1" t="inlineStr">
        <is>
          <t>BKK27</t>
        </is>
      </c>
      <c r="B5" s="1" t="inlineStr">
        <is>
          <t>45RE</t>
        </is>
      </c>
      <c r="C5" s="1" t="inlineStr">
        <is>
          <t>IER</t>
        </is>
      </c>
    </row>
    <row r="6" ht="13" customHeight="1">
      <c r="A6" s="1" t="inlineStr">
        <is>
          <t>BKK27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BKK27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BKK27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LCH27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22RE</t>
        </is>
      </c>
      <c r="C10" s="1" t="inlineStr">
        <is>
          <t>IER</t>
        </is>
      </c>
    </row>
    <row r="11" ht="13" customHeight="1">
      <c r="A11" s="1" t="inlineStr">
        <is>
          <t>LCH27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BKK27</t>
        </is>
      </c>
      <c r="B12" s="1" t="inlineStr">
        <is>
          <t>22RE</t>
        </is>
      </c>
      <c r="C12" s="1" t="inlineStr">
        <is>
          <t>IER</t>
        </is>
      </c>
    </row>
    <row r="13" ht="13" customHeight="1">
      <c r="A13" s="1" t="inlineStr">
        <is>
          <t>BKK27</t>
        </is>
      </c>
      <c r="B13" s="1" t="inlineStr">
        <is>
          <t>22RE</t>
        </is>
      </c>
      <c r="C13" s="1" t="inlineStr">
        <is>
          <t>OER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OER</t>
        </is>
      </c>
    </row>
    <row r="15" ht="13" customHeight="1">
      <c r="A15" s="1" t="inlineStr">
        <is>
          <t>BKK27</t>
        </is>
      </c>
      <c r="B15" s="1" t="inlineStr">
        <is>
          <t>45RE</t>
        </is>
      </c>
      <c r="C15" s="1" t="inlineStr">
        <is>
          <t>OER</t>
        </is>
      </c>
    </row>
    <row r="16" ht="13" customHeight="1">
      <c r="A16" s="1" t="inlineStr">
        <is>
          <t>BKK27</t>
        </is>
      </c>
      <c r="B16" s="1" t="inlineStr">
        <is>
          <t>45RE</t>
        </is>
      </c>
      <c r="C16" s="1" t="inlineStr">
        <is>
          <t>OER</t>
        </is>
      </c>
    </row>
    <row r="17" ht="13" customHeight="1">
      <c r="A17" s="1" t="inlineStr">
        <is>
          <t>BKK27</t>
        </is>
      </c>
      <c r="B17" s="1" t="inlineStr">
        <is>
          <t>22RE</t>
        </is>
      </c>
      <c r="C17" s="1" t="inlineStr">
        <is>
          <t>OER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OER</t>
        </is>
      </c>
    </row>
    <row r="19" ht="13" customHeight="1">
      <c r="A19" s="1" t="inlineStr">
        <is>
          <t>BKK27</t>
        </is>
      </c>
      <c r="B19" s="1" t="inlineStr">
        <is>
          <t>22RE</t>
        </is>
      </c>
      <c r="C19" s="1" t="inlineStr">
        <is>
          <t>IER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IED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LCH27</t>
        </is>
      </c>
      <c r="B22" s="1" t="inlineStr">
        <is>
          <t>45RE</t>
        </is>
      </c>
      <c r="C22" s="1" t="inlineStr">
        <is>
          <t>OER</t>
        </is>
      </c>
    </row>
    <row r="23" ht="13" customHeight="1">
      <c r="A23" s="1" t="inlineStr">
        <is>
          <t>BKK27</t>
        </is>
      </c>
      <c r="B23" s="1" t="inlineStr">
        <is>
          <t>45RE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45RE</t>
        </is>
      </c>
      <c r="C24" s="1" t="inlineStr">
        <is>
          <t>IER</t>
        </is>
      </c>
    </row>
    <row r="25" ht="13" customHeight="1">
      <c r="A25" s="1" t="inlineStr">
        <is>
          <t>LCH27</t>
        </is>
      </c>
      <c r="B25" s="1" t="inlineStr">
        <is>
          <t>45RE</t>
        </is>
      </c>
      <c r="C25" s="1" t="inlineStr">
        <is>
          <t>OER</t>
        </is>
      </c>
    </row>
    <row r="26" ht="13" customHeight="1">
      <c r="A26" s="1" t="inlineStr">
        <is>
          <t>LCH27</t>
        </is>
      </c>
      <c r="B26" s="1" t="inlineStr">
        <is>
          <t>45RE</t>
        </is>
      </c>
      <c r="C26" s="1" t="inlineStr">
        <is>
          <t>OER</t>
        </is>
      </c>
    </row>
    <row r="27" ht="13" customHeight="1">
      <c r="A27" s="1" t="inlineStr">
        <is>
          <t>LCH27</t>
        </is>
      </c>
      <c r="B27" s="1" t="inlineStr">
        <is>
          <t>45RE</t>
        </is>
      </c>
      <c r="C27" s="1" t="inlineStr">
        <is>
          <t>OER</t>
        </is>
      </c>
    </row>
    <row r="28" ht="13" customHeight="1">
      <c r="A28" s="1" t="inlineStr">
        <is>
          <t>LCH27</t>
        </is>
      </c>
      <c r="B28" s="1" t="inlineStr">
        <is>
          <t>45RE</t>
        </is>
      </c>
      <c r="C28" s="1" t="inlineStr">
        <is>
          <t>OER</t>
        </is>
      </c>
    </row>
    <row r="29" ht="13" customHeight="1">
      <c r="A29" s="1" t="inlineStr">
        <is>
          <t>BKK27</t>
        </is>
      </c>
      <c r="B29" s="1" t="inlineStr">
        <is>
          <t>45RE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OER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BKK27</t>
        </is>
      </c>
      <c r="B34" s="1" t="inlineStr">
        <is>
          <t>22RE</t>
        </is>
      </c>
      <c r="C34" s="1" t="inlineStr">
        <is>
          <t>IER</t>
        </is>
      </c>
    </row>
    <row r="35" ht="13" customHeight="1">
      <c r="A35" s="1" t="inlineStr">
        <is>
          <t>BKK27</t>
        </is>
      </c>
      <c r="B35" s="1" t="inlineStr">
        <is>
          <t>22RE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22RE</t>
        </is>
      </c>
      <c r="C36" s="1" t="inlineStr">
        <is>
          <t>IER</t>
        </is>
      </c>
    </row>
    <row r="37" ht="13" customHeight="1">
      <c r="A37" s="1" t="inlineStr">
        <is>
          <t>BKK27</t>
        </is>
      </c>
      <c r="B37" s="1" t="inlineStr">
        <is>
          <t>22RE</t>
        </is>
      </c>
      <c r="C37" s="1" t="inlineStr">
        <is>
          <t>IER</t>
        </is>
      </c>
    </row>
    <row r="38" ht="13" customHeight="1">
      <c r="A38" s="1" t="inlineStr">
        <is>
          <t>LCH27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LCH27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BKK27</t>
        </is>
      </c>
      <c r="B43" s="1" t="inlineStr">
        <is>
          <t>22RE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BKK27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BKK27</t>
        </is>
      </c>
      <c r="B46" s="1" t="inlineStr">
        <is>
          <t>22RE</t>
        </is>
      </c>
      <c r="C46" s="1" t="inlineStr">
        <is>
          <t>IER</t>
        </is>
      </c>
    </row>
    <row r="47" ht="13" customHeight="1">
      <c r="A47" s="1" t="inlineStr">
        <is>
          <t>BKK27</t>
        </is>
      </c>
      <c r="B47" s="1" t="inlineStr">
        <is>
          <t>22RE</t>
        </is>
      </c>
      <c r="C47" s="1" t="inlineStr">
        <is>
          <t>IER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BKK27</t>
        </is>
      </c>
      <c r="B49" s="1" t="inlineStr">
        <is>
          <t>22RE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45RE</t>
        </is>
      </c>
      <c r="C50" s="1" t="inlineStr">
        <is>
          <t>OER</t>
        </is>
      </c>
    </row>
    <row r="51" ht="13" customHeight="1">
      <c r="A51" s="1" t="inlineStr">
        <is>
          <t>LCH27</t>
        </is>
      </c>
      <c r="B51" s="1" t="inlineStr">
        <is>
          <t>45RE</t>
        </is>
      </c>
      <c r="C51" s="1" t="inlineStr">
        <is>
          <t>OER</t>
        </is>
      </c>
    </row>
    <row r="52" ht="13" customHeight="1">
      <c r="A52" s="1" t="inlineStr">
        <is>
          <t>BKK27</t>
        </is>
      </c>
      <c r="B52" s="1" t="inlineStr">
        <is>
          <t>22RE</t>
        </is>
      </c>
      <c r="C52" s="1" t="inlineStr">
        <is>
          <t>OER</t>
        </is>
      </c>
    </row>
    <row r="53" ht="13" customHeight="1">
      <c r="A53" s="1" t="inlineStr">
        <is>
          <t>BKK27</t>
        </is>
      </c>
      <c r="B53" s="1" t="inlineStr">
        <is>
          <t>22RE</t>
        </is>
      </c>
      <c r="C53" s="1" t="inlineStr">
        <is>
          <t>OER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45RE</t>
        </is>
      </c>
      <c r="C55" s="1" t="inlineStr">
        <is>
          <t>OER</t>
        </is>
      </c>
    </row>
    <row r="56" ht="13" customHeight="1">
      <c r="A56" s="1" t="inlineStr">
        <is>
          <t>BKK27</t>
        </is>
      </c>
      <c r="B56" s="1" t="inlineStr">
        <is>
          <t>22RE</t>
        </is>
      </c>
      <c r="C56" s="1" t="inlineStr">
        <is>
          <t>IED</t>
        </is>
      </c>
    </row>
    <row r="57" ht="13" customHeight="1">
      <c r="A57" s="1" t="inlineStr">
        <is>
          <t>BKK27</t>
        </is>
      </c>
      <c r="B57" s="1" t="inlineStr">
        <is>
          <t>22RE</t>
        </is>
      </c>
      <c r="C57" s="1" t="inlineStr">
        <is>
          <t>IED</t>
        </is>
      </c>
    </row>
    <row r="58" ht="13" customHeight="1">
      <c r="A58" s="1" t="inlineStr">
        <is>
          <t>LCH27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OER</t>
        </is>
      </c>
    </row>
    <row r="60" ht="13" customHeight="1">
      <c r="A60" s="1" t="inlineStr">
        <is>
          <t>BKK27</t>
        </is>
      </c>
      <c r="B60" s="1" t="inlineStr">
        <is>
          <t>45RE</t>
        </is>
      </c>
      <c r="C60" s="1" t="inlineStr">
        <is>
          <t>IED</t>
        </is>
      </c>
    </row>
    <row r="61" ht="13" customHeight="1">
      <c r="A61" s="1" t="inlineStr">
        <is>
          <t>BKK27</t>
        </is>
      </c>
      <c r="B61" s="1" t="inlineStr">
        <is>
          <t>45RE</t>
        </is>
      </c>
      <c r="C61" s="1" t="inlineStr">
        <is>
          <t>OER</t>
        </is>
      </c>
    </row>
    <row r="62" ht="13" customHeight="1">
      <c r="A62" s="1" t="inlineStr">
        <is>
          <t>BKK27</t>
        </is>
      </c>
      <c r="B62" s="1" t="inlineStr">
        <is>
          <t>45RE</t>
        </is>
      </c>
      <c r="C62" s="1" t="inlineStr">
        <is>
          <t>IED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OER</t>
        </is>
      </c>
    </row>
    <row r="64" ht="13" customHeight="1">
      <c r="A64" s="1" t="inlineStr">
        <is>
          <t>BKK27</t>
        </is>
      </c>
      <c r="B64" s="1" t="inlineStr">
        <is>
          <t>22RE</t>
        </is>
      </c>
      <c r="C64" s="1" t="inlineStr">
        <is>
          <t>OER</t>
        </is>
      </c>
    </row>
    <row r="65" ht="13" customHeight="1">
      <c r="A65" s="1" t="inlineStr">
        <is>
          <t>LCH27</t>
        </is>
      </c>
      <c r="B65" s="1" t="inlineStr">
        <is>
          <t>45RE</t>
        </is>
      </c>
      <c r="C65" s="1" t="inlineStr">
        <is>
          <t>OER</t>
        </is>
      </c>
    </row>
    <row r="66" ht="13" customHeight="1">
      <c r="A66" s="1" t="inlineStr">
        <is>
          <t>LCH27</t>
        </is>
      </c>
      <c r="B66" s="1" t="inlineStr">
        <is>
          <t>22RE</t>
        </is>
      </c>
      <c r="C66" s="1" t="inlineStr">
        <is>
          <t>OER</t>
        </is>
      </c>
    </row>
    <row r="67" ht="13" customHeight="1">
      <c r="A67" s="1" t="inlineStr">
        <is>
          <t>BKK27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OER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OER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OER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LCH27</t>
        </is>
      </c>
      <c r="B74" s="1" t="inlineStr">
        <is>
          <t>45RE</t>
        </is>
      </c>
      <c r="C74" s="1" t="inlineStr">
        <is>
          <t>OER</t>
        </is>
      </c>
    </row>
    <row r="75" ht="13" customHeight="1">
      <c r="A75" s="1" t="inlineStr">
        <is>
          <t>LCH27</t>
        </is>
      </c>
      <c r="B75" s="1" t="inlineStr">
        <is>
          <t>45RE</t>
        </is>
      </c>
      <c r="C75" s="1" t="inlineStr">
        <is>
          <t>OER</t>
        </is>
      </c>
    </row>
    <row r="76" ht="13" customHeight="1">
      <c r="A76" s="1" t="inlineStr">
        <is>
          <t>LCH27</t>
        </is>
      </c>
      <c r="B76" s="1" t="inlineStr">
        <is>
          <t>45RE</t>
        </is>
      </c>
      <c r="C76" s="1" t="inlineStr">
        <is>
          <t>IER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IER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IER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IER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IER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IER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IER</t>
        </is>
      </c>
    </row>
    <row r="86" ht="13" customHeight="1">
      <c r="A86" s="1" t="inlineStr">
        <is>
          <t>BKK27</t>
        </is>
      </c>
      <c r="B86" s="1" t="inlineStr">
        <is>
          <t>45RE</t>
        </is>
      </c>
      <c r="C86" s="1" t="inlineStr">
        <is>
          <t>IER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IER</t>
        </is>
      </c>
    </row>
    <row r="89" ht="13" customHeight="1">
      <c r="A89" s="1" t="inlineStr">
        <is>
          <t>LCH27</t>
        </is>
      </c>
      <c r="B89" s="1" t="inlineStr">
        <is>
          <t>45RE</t>
        </is>
      </c>
      <c r="C89" s="1" t="inlineStr">
        <is>
          <t>IER</t>
        </is>
      </c>
    </row>
    <row r="90" ht="13" customHeight="1">
      <c r="A90" s="1" t="inlineStr">
        <is>
          <t>LCH27</t>
        </is>
      </c>
      <c r="B90" s="1" t="inlineStr">
        <is>
          <t>45RE</t>
        </is>
      </c>
      <c r="C90" s="1" t="inlineStr">
        <is>
          <t>OER</t>
        </is>
      </c>
    </row>
    <row r="91" ht="13" customHeight="1">
      <c r="A91" s="1" t="inlineStr">
        <is>
          <t>BKK27</t>
        </is>
      </c>
      <c r="B91" s="1" t="inlineStr">
        <is>
          <t>22RE</t>
        </is>
      </c>
      <c r="C91" s="1" t="inlineStr">
        <is>
          <t>IED</t>
        </is>
      </c>
    </row>
    <row r="92" ht="13" customHeight="1">
      <c r="A92" s="1" t="inlineStr">
        <is>
          <t>BKK27</t>
        </is>
      </c>
      <c r="B92" s="1" t="inlineStr">
        <is>
          <t>22RE</t>
        </is>
      </c>
      <c r="C92" s="1" t="inlineStr">
        <is>
          <t>IER</t>
        </is>
      </c>
    </row>
    <row r="93" ht="13" customHeight="1">
      <c r="A93" s="1" t="inlineStr">
        <is>
          <t>BKK27</t>
        </is>
      </c>
      <c r="B93" s="1" t="inlineStr">
        <is>
          <t>45RE</t>
        </is>
      </c>
      <c r="C93" s="1" t="inlineStr">
        <is>
          <t>IER</t>
        </is>
      </c>
    </row>
    <row r="94" ht="13" customHeight="1">
      <c r="A94" s="1" t="inlineStr">
        <is>
          <t>BKK27</t>
        </is>
      </c>
      <c r="B94" s="1" t="inlineStr">
        <is>
          <t>45RE</t>
        </is>
      </c>
      <c r="C94" s="1" t="inlineStr">
        <is>
          <t>IER</t>
        </is>
      </c>
    </row>
    <row r="95" ht="13" customHeight="1">
      <c r="A95" s="1" t="inlineStr">
        <is>
          <t>BKK27</t>
        </is>
      </c>
      <c r="B95" s="1" t="inlineStr">
        <is>
          <t>45RE</t>
        </is>
      </c>
      <c r="C95" s="1" t="inlineStr">
        <is>
          <t>IER</t>
        </is>
      </c>
    </row>
    <row r="96" ht="13" customHeight="1">
      <c r="A96" s="1" t="inlineStr">
        <is>
          <t>BKK27</t>
        </is>
      </c>
      <c r="B96" s="1" t="inlineStr">
        <is>
          <t>45RE</t>
        </is>
      </c>
      <c r="C96" s="1" t="inlineStr">
        <is>
          <t>IER</t>
        </is>
      </c>
    </row>
    <row r="97" ht="13" customHeight="1">
      <c r="A97" s="1" t="inlineStr">
        <is>
          <t>BKK27</t>
        </is>
      </c>
      <c r="B97" s="1" t="inlineStr">
        <is>
          <t>45RE</t>
        </is>
      </c>
      <c r="C97" s="1" t="inlineStr">
        <is>
          <t>IED</t>
        </is>
      </c>
    </row>
    <row r="98" ht="13" customHeight="1">
      <c r="A98" s="1" t="inlineStr">
        <is>
          <t>BKK27</t>
        </is>
      </c>
      <c r="B98" s="1" t="inlineStr">
        <is>
          <t>45RE</t>
        </is>
      </c>
      <c r="C98" s="1" t="inlineStr">
        <is>
          <t>IER</t>
        </is>
      </c>
    </row>
    <row r="99" ht="13" customHeight="1">
      <c r="A99" s="1" t="inlineStr">
        <is>
          <t>BKK27</t>
        </is>
      </c>
      <c r="B99" s="1" t="inlineStr">
        <is>
          <t>45RE</t>
        </is>
      </c>
      <c r="C99" s="1" t="inlineStr">
        <is>
          <t>IER</t>
        </is>
      </c>
    </row>
    <row r="100" ht="13" customHeight="1">
      <c r="A100" s="1" t="inlineStr">
        <is>
          <t>BKK27</t>
        </is>
      </c>
      <c r="B100" s="1" t="inlineStr">
        <is>
          <t>45RE</t>
        </is>
      </c>
      <c r="C100" s="1" t="inlineStr">
        <is>
          <t>IER</t>
        </is>
      </c>
    </row>
    <row r="101" ht="13" customHeight="1">
      <c r="A101" s="1" t="inlineStr">
        <is>
          <t>BKK27</t>
        </is>
      </c>
      <c r="B101" s="1" t="inlineStr">
        <is>
          <t>45RE</t>
        </is>
      </c>
      <c r="C101" s="1" t="inlineStr">
        <is>
          <t>IER</t>
        </is>
      </c>
    </row>
    <row r="102" ht="13" customHeight="1">
      <c r="A102" s="1" t="inlineStr">
        <is>
          <t>BKK27</t>
        </is>
      </c>
      <c r="B102" s="1" t="inlineStr">
        <is>
          <t>45RE</t>
        </is>
      </c>
      <c r="C102" s="1" t="inlineStr">
        <is>
          <t>IER</t>
        </is>
      </c>
    </row>
    <row r="103" ht="13" customHeight="1">
      <c r="A103" s="1" t="inlineStr">
        <is>
          <t>LCH27</t>
        </is>
      </c>
      <c r="B103" s="1" t="inlineStr">
        <is>
          <t>45RE</t>
        </is>
      </c>
      <c r="C103" s="1" t="inlineStr">
        <is>
          <t>IER</t>
        </is>
      </c>
    </row>
    <row r="104" ht="13" customHeight="1">
      <c r="A104" s="1" t="inlineStr">
        <is>
          <t>LCH27</t>
        </is>
      </c>
      <c r="B104" s="1" t="inlineStr">
        <is>
          <t>45RE</t>
        </is>
      </c>
      <c r="C104" s="1" t="inlineStr">
        <is>
          <t>IED</t>
        </is>
      </c>
    </row>
    <row r="105" ht="13" customHeight="1">
      <c r="A105" s="1" t="inlineStr">
        <is>
          <t>LCH27</t>
        </is>
      </c>
      <c r="B105" s="1" t="inlineStr">
        <is>
          <t>45RE</t>
        </is>
      </c>
      <c r="C105" s="1" t="inlineStr">
        <is>
          <t>OER</t>
        </is>
      </c>
    </row>
    <row r="106" ht="13" customHeight="1">
      <c r="A106" s="1" t="inlineStr">
        <is>
          <t>LCH27</t>
        </is>
      </c>
      <c r="B106" s="1" t="inlineStr">
        <is>
          <t>45RE</t>
        </is>
      </c>
      <c r="C106" s="1" t="inlineStr">
        <is>
          <t>OER</t>
        </is>
      </c>
    </row>
    <row r="107" ht="13" customHeight="1">
      <c r="A107" s="1" t="inlineStr">
        <is>
          <t>LCH27</t>
        </is>
      </c>
      <c r="B107" s="1" t="inlineStr">
        <is>
          <t>45RE</t>
        </is>
      </c>
      <c r="C107" s="1" t="inlineStr">
        <is>
          <t>IER</t>
        </is>
      </c>
    </row>
    <row r="108" ht="13" customHeight="1">
      <c r="A108" s="1" t="inlineStr">
        <is>
          <t>LCH27</t>
        </is>
      </c>
      <c r="B108" s="1" t="inlineStr">
        <is>
          <t>45RE</t>
        </is>
      </c>
      <c r="C108" s="1" t="inlineStr">
        <is>
          <t>OER</t>
        </is>
      </c>
    </row>
    <row r="109" ht="13" customHeight="1">
      <c r="A109" s="1" t="inlineStr">
        <is>
          <t>LCH27</t>
        </is>
      </c>
      <c r="B109" s="1" t="inlineStr">
        <is>
          <t>45RE</t>
        </is>
      </c>
      <c r="C109" s="1" t="inlineStr">
        <is>
          <t>IER</t>
        </is>
      </c>
    </row>
    <row r="110" ht="13" customHeight="1">
      <c r="A110" s="1" t="inlineStr">
        <is>
          <t>LCH27</t>
        </is>
      </c>
      <c r="B110" s="1" t="inlineStr">
        <is>
          <t>45RE</t>
        </is>
      </c>
      <c r="C110" s="1" t="inlineStr">
        <is>
          <t>IER</t>
        </is>
      </c>
    </row>
    <row r="111" ht="13" customHeight="1">
      <c r="A111" s="1" t="inlineStr">
        <is>
          <t>BKK27</t>
        </is>
      </c>
      <c r="B111" s="1" t="inlineStr">
        <is>
          <t>45RE</t>
        </is>
      </c>
      <c r="C111" s="1" t="inlineStr">
        <is>
          <t>IER</t>
        </is>
      </c>
    </row>
    <row r="112" ht="13" customHeight="1">
      <c r="A112" s="1" t="inlineStr">
        <is>
          <t>BKK27</t>
        </is>
      </c>
      <c r="B112" s="1" t="inlineStr">
        <is>
          <t>45RE</t>
        </is>
      </c>
      <c r="C112" s="1" t="inlineStr">
        <is>
          <t>IER</t>
        </is>
      </c>
    </row>
    <row r="113" ht="13" customHeight="1">
      <c r="A113" s="1" t="inlineStr">
        <is>
          <t>BKK27</t>
        </is>
      </c>
      <c r="B113" s="1" t="inlineStr">
        <is>
          <t>45RE</t>
        </is>
      </c>
      <c r="C113" s="1" t="inlineStr">
        <is>
          <t>IER</t>
        </is>
      </c>
    </row>
    <row r="114" ht="13" customHeight="1">
      <c r="A114" s="1" t="inlineStr">
        <is>
          <t>BKK27</t>
        </is>
      </c>
      <c r="B114" s="1" t="inlineStr">
        <is>
          <t>45RE</t>
        </is>
      </c>
      <c r="C114" s="1" t="inlineStr">
        <is>
          <t>IER</t>
        </is>
      </c>
    </row>
    <row r="115" ht="13" customHeight="1">
      <c r="A115" s="1" t="inlineStr">
        <is>
          <t>BKK27</t>
        </is>
      </c>
      <c r="B115" s="1" t="inlineStr">
        <is>
          <t>45RE</t>
        </is>
      </c>
      <c r="C115" s="1" t="inlineStr">
        <is>
          <t>IED</t>
        </is>
      </c>
    </row>
    <row r="116" ht="13" customHeight="1">
      <c r="A116" s="1" t="inlineStr">
        <is>
          <t>BKK27</t>
        </is>
      </c>
      <c r="B116" s="1" t="inlineStr">
        <is>
          <t>45RE</t>
        </is>
      </c>
      <c r="C116" s="1" t="inlineStr">
        <is>
          <t>IER</t>
        </is>
      </c>
    </row>
    <row r="117" ht="13" customHeight="1">
      <c r="A117" s="1" t="inlineStr">
        <is>
          <t>BKK27</t>
        </is>
      </c>
      <c r="B117" s="1" t="inlineStr">
        <is>
          <t>45RE</t>
        </is>
      </c>
      <c r="C117" s="1" t="inlineStr">
        <is>
          <t>IER</t>
        </is>
      </c>
    </row>
    <row r="118" ht="13" customHeight="1">
      <c r="A118" s="1" t="inlineStr">
        <is>
          <t>BKK27</t>
        </is>
      </c>
      <c r="B118" s="1" t="inlineStr">
        <is>
          <t>45RE</t>
        </is>
      </c>
      <c r="C118" s="1" t="inlineStr">
        <is>
          <t>IER</t>
        </is>
      </c>
    </row>
    <row r="119" ht="13" customHeight="1">
      <c r="A119" s="1" t="inlineStr">
        <is>
          <t>BKK27</t>
        </is>
      </c>
      <c r="B119" s="1" t="inlineStr">
        <is>
          <t>45RE</t>
        </is>
      </c>
      <c r="C119" s="1" t="inlineStr">
        <is>
          <t>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7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6" t="n"/>
      <c r="D2" s="57" t="n"/>
      <c r="E2" s="1" t="n"/>
      <c r="F2" s="1" t="n"/>
      <c r="G2" s="1" t="n"/>
      <c r="H2" s="4" t="inlineStr">
        <is>
          <t>LCH27 / HAST</t>
        </is>
      </c>
      <c r="I2" s="56" t="n"/>
      <c r="J2" s="57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31</v>
      </c>
      <c r="D4" s="10" t="n">
        <v>37</v>
      </c>
      <c r="E4" s="1" t="n"/>
      <c r="F4" s="1" t="n"/>
      <c r="G4" s="1" t="n"/>
      <c r="H4" s="9" t="inlineStr">
        <is>
          <t>Stock empty in yard</t>
        </is>
      </c>
      <c r="I4" s="10" t="n">
        <v>7</v>
      </c>
      <c r="J4" s="10" t="n">
        <v>43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58">
        <f>C4-C5-C6-C7</f>
        <v/>
      </c>
      <c r="D8" s="58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58">
        <f>I4-I5-I6-I7</f>
        <v/>
      </c>
      <c r="J8" s="58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58">
        <f>C8-C9</f>
        <v/>
      </c>
      <c r="D10" s="58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58">
        <f>I8-I9</f>
        <v/>
      </c>
      <c r="J10" s="59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SUMIFS(BookingRaw!$C$2:$C$8000,BookingRaw!$A$2:$A$8000,"BKK27",BookingRaw!$B$2:$B$8000,"&gt;="&amp;Control!$B6,BookingRaw!$B$2:$B$8000,"&lt;="&amp;DATE(2026,10,24))</f>
        <v/>
      </c>
      <c r="D11" s="7">
        <f>SUMIFS(BookingRaw!$D$2:$D$8000,BookingRaw!$A$2:$A$8000,"BKK27",BookingRaw!$B$2:$B$8000,"&gt;="&amp;Control!$B6,BookingRaw!$B$2:$B$8000,"&lt;="&amp;DATE(2026,10,24))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SUMIFS(BookingRaw!$C$2:$C$8000,BookingRaw!$A$2:$A$8000,"LCH27",BookingRaw!$B$2:$B$8000,"&gt;="&amp;Control!$B6,BookingRaw!$B$2:$B$8000,"&lt;="&amp;DATE(2026,10,24))</f>
        <v/>
      </c>
      <c r="J11" s="7">
        <f>SUMIFS(BookingRaw!$D$2:$D$8000,BookingRaw!$A$2:$A$8000,"LCH27",BookingRaw!$B$2:$B$8000,"&gt;="&amp;Control!$B6,BookingRaw!$B$2:$B$8000,"&lt;="&amp;DATE(2026,10,24))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58">
        <f>C10-C11</f>
        <v/>
      </c>
      <c r="D12" s="59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58">
        <f>I10-I11</f>
        <v/>
      </c>
      <c r="J12" s="59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$119,"BKK27",StockRaw!$B$2:$B$119,"22RE",StockRaw!$C$2:$C$119,"IED")+COUNTIFS(StockRaw!$A$2:$A$119,"BKK27",StockRaw!$B$2:$B$119,"22RE",StockRaw!$C$2:$C$119,"IEP")+COUNTIFS(StockRaw!$A$2:$A$119,"BKK27",StockRaw!$B$2:$B$119,"22RE",StockRaw!$C$2:$C$119,"IER")</f>
        <v/>
      </c>
      <c r="D16" s="8">
        <f>COUNTIFS(StockRaw!$A$2:$A$119,"BKK27",StockRaw!$B$2:$B$119,"45RE",StockRaw!$C$2:$C$119,"IED")+COUNTIFS(StockRaw!$A$2:$A$119,"BKK27",StockRaw!$B$2:$B$119,"45RE",StockRaw!$C$2:$C$119,"IEP")+COUNTIFS(StockRaw!$A$2:$A$119,"BKK27",StockRaw!$B$2:$B$119,"45RE",StockRaw!$C$2:$C$119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$119,"LCH27",StockRaw!$B$2:$B$119,"22RE",StockRaw!$C$2:$C$119,"IED")+COUNTIFS(StockRaw!$A$2:$A$119,"LCH27",StockRaw!$B$2:$B$119,"22RE",StockRaw!$C$2:$C$119,"IEP")+COUNTIFS(StockRaw!$A$2:$A$119,"LCH27",StockRaw!$B$2:$B$119,"22RE",StockRaw!$C$2:$C$119,"IER")</f>
        <v/>
      </c>
      <c r="J16" s="8">
        <f>COUNTIFS(StockRaw!$A$2:$A$119,"LCH27",StockRaw!$B$2:$B$119,"45RE",StockRaw!$C$2:$C$119,"IED")+COUNTIFS(StockRaw!$A$2:$A$119,"LCH27",StockRaw!$B$2:$B$119,"45RE",StockRaw!$C$2:$C$119,"IEP")+COUNTIFS(StockRaw!$A$2:$A$119,"LCH27",StockRaw!$B$2:$B$119,"45RE",StockRaw!$C$2:$C$119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COUNTIFS(StockRaw!$A$2:$A$119,"BKK27",StockRaw!$B$2:$B$119,"22RE",StockRaw!$C$2:$C$119,"OER")</f>
        <v/>
      </c>
      <c r="D17" s="8">
        <f>COUNTIFS(StockRaw!$A$2:$A$119,"BKK27",StockRaw!$B$2:$B$119,"45RE",StockRaw!$C$2:$C$119,"OER")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COUNTIFS(StockRaw!$A$2:$A$119,"LCH27",StockRaw!$B$2:$B$119,"22RE",StockRaw!$C$2:$C$119,"OER")</f>
        <v/>
      </c>
      <c r="J17" s="8">
        <f>COUNTIFS(StockRaw!$A$2:$A$119,"LCH27",StockRaw!$B$2:$B$119,"45RE",StockRaw!$C$2:$C$119,"OER")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6" t="n"/>
      <c r="D20" s="56" t="n"/>
      <c r="E20" s="57" t="n"/>
      <c r="F20" s="1" t="n"/>
      <c r="G20" s="1" t="n"/>
      <c r="H20" s="17" t="inlineStr">
        <is>
          <t>LCH / HAST (LCH27)</t>
        </is>
      </c>
      <c r="I20" s="56" t="n"/>
      <c r="J20" s="56" t="n"/>
      <c r="K20" s="57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0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0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3</v>
      </c>
      <c r="D24" s="8" t="n">
        <v>0</v>
      </c>
      <c r="E24" s="8" t="n">
        <v>1</v>
      </c>
      <c r="F24" s="1" t="n"/>
      <c r="G24" s="1" t="n"/>
      <c r="H24" s="8" t="n">
        <v>2025</v>
      </c>
      <c r="I24" s="8" t="n">
        <v>7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2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2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7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3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12</v>
      </c>
      <c r="D29" s="6" t="n">
        <v>0</v>
      </c>
      <c r="E29" s="6" t="n">
        <v>1</v>
      </c>
      <c r="F29" s="1" t="n"/>
      <c r="G29" s="1" t="n"/>
      <c r="H29" s="6" t="inlineStr">
        <is>
          <t>TOTAL</t>
        </is>
      </c>
      <c r="I29" s="6" t="n">
        <v>12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24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31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21" t="inlineStr">
        <is>
          <t>CARGO CLASSIFICATION  (40'RH stock by Built Year, per depot)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22" t="inlineStr">
        <is>
          <t>BKK27 DURIAN  (2021-2026)</t>
        </is>
      </c>
      <c r="C34" s="23" t="n"/>
      <c r="D34" s="23" t="n"/>
      <c r="E34" s="1" t="n"/>
      <c r="F34" s="22" t="inlineStr">
        <is>
          <t>BKK27 NON DURIAN  (≤ 2020)</t>
        </is>
      </c>
      <c r="G34" s="23" t="n"/>
      <c r="H34" s="23" t="n"/>
      <c r="I34" s="1" t="n"/>
      <c r="J34" s="22" t="inlineStr">
        <is>
          <t>LCH27 DURIAN  (2021-2026)</t>
        </is>
      </c>
      <c r="K34" s="23" t="n"/>
      <c r="L34" s="23" t="n"/>
      <c r="M34" s="1" t="n"/>
      <c r="N34" s="22" t="inlineStr">
        <is>
          <t>LCH27 NON DURIAN  (≤ 2020)</t>
        </is>
      </c>
      <c r="O34" s="23" t="n"/>
      <c r="P34" s="23" t="n"/>
    </row>
    <row r="35" ht="13" customHeight="1">
      <c r="A35" s="1" t="n"/>
      <c r="B35" s="24">
        <f>SUM(D42:D47)+SUM(F42:F47)+SUM(H42:H47)</f>
        <v/>
      </c>
      <c r="C35" s="23" t="n"/>
      <c r="D35" s="23" t="n"/>
      <c r="E35" s="1" t="n"/>
      <c r="F35" s="24">
        <f>SUM(D48:D58)+SUM(F48:F58)+SUM(H48:H58)</f>
        <v/>
      </c>
      <c r="G35" s="23" t="n"/>
      <c r="H35" s="23" t="n"/>
      <c r="I35" s="1" t="n"/>
      <c r="J35" s="25">
        <f>SUM(L42:L47)+SUM(N42:N47)+SUM(P42:P47)</f>
        <v/>
      </c>
      <c r="K35" s="23" t="n"/>
      <c r="L35" s="23" t="n"/>
      <c r="M35" s="1" t="n"/>
      <c r="N35" s="25">
        <f>SUM(L48:L58)+SUM(N48:N58)+SUM(P48:P58)</f>
        <v/>
      </c>
      <c r="O35" s="23" t="n"/>
      <c r="P35" s="23" t="n"/>
    </row>
    <row r="36" ht="13" customHeight="1">
      <c r="A36" s="1" t="n"/>
      <c r="B36" s="26" t="inlineStr">
        <is>
          <t>40'RH stock</t>
        </is>
      </c>
      <c r="C36" s="23" t="n"/>
      <c r="D36" s="23" t="n"/>
      <c r="E36" s="1" t="n"/>
      <c r="F36" s="26" t="inlineStr">
        <is>
          <t>40'RH stock</t>
        </is>
      </c>
      <c r="G36" s="23" t="n"/>
      <c r="H36" s="23" t="n"/>
      <c r="I36" s="1" t="n"/>
      <c r="J36" s="26" t="inlineStr">
        <is>
          <t>40'RH stock</t>
        </is>
      </c>
      <c r="K36" s="23" t="n"/>
      <c r="L36" s="23" t="n"/>
      <c r="M36" s="1" t="n"/>
      <c r="N36" s="26" t="inlineStr">
        <is>
          <t>40'RH stock</t>
        </is>
      </c>
      <c r="O36" s="23" t="n"/>
      <c r="P36" s="23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" t="inlineStr">
        <is>
          <t>BKK27 / BC2  —  Stock by Built Year x Brand x Size</t>
        </is>
      </c>
      <c r="C39" s="56" t="n"/>
      <c r="D39" s="56" t="n"/>
      <c r="E39" s="56" t="n"/>
      <c r="F39" s="56" t="n"/>
      <c r="G39" s="56" t="n"/>
      <c r="H39" s="57" t="n"/>
      <c r="I39" s="1" t="n"/>
      <c r="J39" s="3" t="inlineStr">
        <is>
          <t>LCH27 / HAST  —  Stock by Built Year x Brand x Size</t>
        </is>
      </c>
      <c r="K39" s="56" t="n"/>
      <c r="L39" s="56" t="n"/>
      <c r="M39" s="56" t="n"/>
      <c r="N39" s="56" t="n"/>
      <c r="O39" s="56" t="n"/>
      <c r="P39" s="57" t="n"/>
    </row>
    <row r="40" ht="26" customHeight="1">
      <c r="A40" s="1" t="n"/>
      <c r="B40" s="18" t="inlineStr">
        <is>
          <t>YEAR
BUILT</t>
        </is>
      </c>
      <c r="C40" s="4" t="inlineStr">
        <is>
          <t>CARRIER</t>
        </is>
      </c>
      <c r="D40" s="57" t="n"/>
      <c r="E40" s="4" t="inlineStr">
        <is>
          <t>DAIKIN</t>
        </is>
      </c>
      <c r="F40" s="57" t="n"/>
      <c r="G40" s="4" t="inlineStr">
        <is>
          <t>THERMO KING</t>
        </is>
      </c>
      <c r="H40" s="57" t="n"/>
      <c r="I40" s="1" t="n"/>
      <c r="J40" s="18" t="inlineStr">
        <is>
          <t>YEAR
BUILT</t>
        </is>
      </c>
      <c r="K40" s="4" t="inlineStr">
        <is>
          <t>CARRIER</t>
        </is>
      </c>
      <c r="L40" s="57" t="n"/>
      <c r="M40" s="4" t="inlineStr">
        <is>
          <t>DAIKIN</t>
        </is>
      </c>
      <c r="N40" s="57" t="n"/>
      <c r="O40" s="4" t="inlineStr">
        <is>
          <t>THERMO KING</t>
        </is>
      </c>
      <c r="P40" s="57" t="n"/>
    </row>
    <row r="41" ht="13" customHeight="1">
      <c r="A41" s="1" t="n"/>
      <c r="B41" s="60" t="n"/>
      <c r="C41" s="28" t="inlineStr">
        <is>
          <t>20'RE</t>
        </is>
      </c>
      <c r="D41" s="28" t="inlineStr">
        <is>
          <t>40'RH</t>
        </is>
      </c>
      <c r="E41" s="28" t="inlineStr">
        <is>
          <t>20'RE</t>
        </is>
      </c>
      <c r="F41" s="28" t="inlineStr">
        <is>
          <t>40'RH</t>
        </is>
      </c>
      <c r="G41" s="28" t="inlineStr">
        <is>
          <t>20'RE</t>
        </is>
      </c>
      <c r="H41" s="28" t="inlineStr">
        <is>
          <t>40'RH</t>
        </is>
      </c>
      <c r="I41" s="1" t="n"/>
      <c r="J41" s="60" t="n"/>
      <c r="K41" s="28" t="inlineStr">
        <is>
          <t>20'RE</t>
        </is>
      </c>
      <c r="L41" s="28" t="inlineStr">
        <is>
          <t>40'RH</t>
        </is>
      </c>
      <c r="M41" s="28" t="inlineStr">
        <is>
          <t>20'RE</t>
        </is>
      </c>
      <c r="N41" s="28" t="inlineStr">
        <is>
          <t>40'RH</t>
        </is>
      </c>
      <c r="O41" s="28" t="inlineStr">
        <is>
          <t>20'RE</t>
        </is>
      </c>
      <c r="P41" s="28" t="inlineStr">
        <is>
          <t>40'RH</t>
        </is>
      </c>
    </row>
    <row r="42" ht="13" customHeight="1">
      <c r="A42" s="1" t="n"/>
      <c r="B42" s="29" t="n">
        <v>2026</v>
      </c>
      <c r="C42" s="30" t="n"/>
      <c r="D42" s="30" t="n"/>
      <c r="E42" s="30" t="n"/>
      <c r="F42" s="30" t="n"/>
      <c r="G42" s="30" t="n"/>
      <c r="H42" s="30" t="n"/>
      <c r="I42" s="1" t="n"/>
      <c r="J42" s="29" t="n">
        <v>2026</v>
      </c>
      <c r="K42" s="30" t="n"/>
      <c r="L42" s="30" t="n"/>
      <c r="M42" s="30" t="n"/>
      <c r="N42" s="30" t="n"/>
      <c r="O42" s="30" t="n"/>
      <c r="P42" s="30" t="n"/>
    </row>
    <row r="43" ht="13" customHeight="1">
      <c r="A43" s="1" t="n"/>
      <c r="B43" s="29" t="n">
        <v>2025</v>
      </c>
      <c r="C43" s="30" t="n"/>
      <c r="D43" s="30" t="n">
        <v>3</v>
      </c>
      <c r="E43" s="30" t="n">
        <v>2</v>
      </c>
      <c r="F43" s="30" t="n"/>
      <c r="G43" s="30" t="n"/>
      <c r="H43" s="30" t="n">
        <v>1</v>
      </c>
      <c r="I43" s="1" t="n"/>
      <c r="J43" s="29" t="n">
        <v>2025</v>
      </c>
      <c r="K43" s="30" t="n"/>
      <c r="L43" s="30" t="n">
        <v>7</v>
      </c>
      <c r="M43" s="30" t="n"/>
      <c r="N43" s="30" t="n"/>
      <c r="O43" s="30" t="n"/>
      <c r="P43" s="30" t="n"/>
    </row>
    <row r="44" ht="13" customHeight="1">
      <c r="A44" s="1" t="n"/>
      <c r="B44" s="29" t="n">
        <v>2024</v>
      </c>
      <c r="C44" s="30" t="n"/>
      <c r="D44" s="30" t="n"/>
      <c r="E44" s="30" t="n"/>
      <c r="F44" s="30" t="n"/>
      <c r="G44" s="30" t="n"/>
      <c r="H44" s="30" t="n"/>
      <c r="I44" s="1" t="n"/>
      <c r="J44" s="29" t="n">
        <v>2024</v>
      </c>
      <c r="K44" s="30" t="n"/>
      <c r="L44" s="30" t="n"/>
      <c r="M44" s="30" t="n"/>
      <c r="N44" s="30" t="n"/>
      <c r="O44" s="30" t="n"/>
      <c r="P44" s="30" t="n"/>
    </row>
    <row r="45" ht="13" customHeight="1">
      <c r="A45" s="1" t="n"/>
      <c r="B45" s="29" t="n">
        <v>2023</v>
      </c>
      <c r="C45" s="30" t="n"/>
      <c r="D45" s="30" t="n">
        <v>2</v>
      </c>
      <c r="E45" s="30" t="n"/>
      <c r="F45" s="30" t="n"/>
      <c r="G45" s="30" t="n"/>
      <c r="H45" s="30" t="n"/>
      <c r="I45" s="1" t="n"/>
      <c r="J45" s="29" t="n">
        <v>2023</v>
      </c>
      <c r="K45" s="30" t="n"/>
      <c r="L45" s="30" t="n">
        <v>2</v>
      </c>
      <c r="M45" s="30" t="n"/>
      <c r="N45" s="30" t="n"/>
      <c r="O45" s="30" t="n"/>
      <c r="P45" s="30" t="n"/>
    </row>
    <row r="46" ht="13" customHeight="1">
      <c r="A46" s="1" t="n"/>
      <c r="B46" s="29" t="n">
        <v>2022</v>
      </c>
      <c r="C46" s="30" t="n"/>
      <c r="D46" s="30" t="n"/>
      <c r="E46" s="30" t="n"/>
      <c r="F46" s="30" t="n"/>
      <c r="G46" s="30" t="n"/>
      <c r="H46" s="30" t="n"/>
      <c r="I46" s="1" t="n"/>
      <c r="J46" s="29" t="n">
        <v>2022</v>
      </c>
      <c r="K46" s="30" t="n"/>
      <c r="L46" s="30" t="n"/>
      <c r="M46" s="30" t="n"/>
      <c r="N46" s="30" t="n"/>
      <c r="O46" s="30" t="n"/>
      <c r="P46" s="30" t="n"/>
    </row>
    <row r="47" ht="13" customHeight="1">
      <c r="A47" s="1" t="n"/>
      <c r="B47" s="29" t="n">
        <v>2021</v>
      </c>
      <c r="C47" s="30" t="n">
        <v>7</v>
      </c>
      <c r="D47" s="30" t="n">
        <v>7</v>
      </c>
      <c r="E47" s="30" t="n"/>
      <c r="F47" s="30" t="n"/>
      <c r="G47" s="30" t="n"/>
      <c r="H47" s="30" t="n"/>
      <c r="I47" s="1" t="n"/>
      <c r="J47" s="29" t="n">
        <v>2021</v>
      </c>
      <c r="K47" s="30" t="n">
        <v>2</v>
      </c>
      <c r="L47" s="30" t="n">
        <v>3</v>
      </c>
      <c r="M47" s="30" t="n"/>
      <c r="N47" s="30" t="n"/>
      <c r="O47" s="30" t="n"/>
      <c r="P47" s="30" t="n"/>
    </row>
    <row r="48" ht="13" customHeight="1">
      <c r="A48" s="1" t="n"/>
      <c r="B48" s="31" t="n">
        <v>2020</v>
      </c>
      <c r="C48" s="32" t="n">
        <v>1</v>
      </c>
      <c r="D48" s="32" t="n">
        <v>5</v>
      </c>
      <c r="E48" s="32" t="n"/>
      <c r="F48" s="32" t="n"/>
      <c r="G48" s="32" t="n"/>
      <c r="H48" s="32" t="n"/>
      <c r="I48" s="1" t="n"/>
      <c r="J48" s="31" t="n">
        <v>2020</v>
      </c>
      <c r="K48" s="32" t="n"/>
      <c r="L48" s="32" t="n">
        <v>10</v>
      </c>
      <c r="M48" s="32" t="n"/>
      <c r="N48" s="32" t="n"/>
      <c r="O48" s="32" t="n"/>
      <c r="P48" s="32" t="n">
        <v>1</v>
      </c>
    </row>
    <row r="49" ht="13" customHeight="1">
      <c r="A49" s="1" t="n"/>
      <c r="B49" s="31" t="n">
        <v>2019</v>
      </c>
      <c r="C49" s="32" t="n">
        <v>3</v>
      </c>
      <c r="D49" s="32" t="n">
        <v>5</v>
      </c>
      <c r="E49" s="32" t="n"/>
      <c r="F49" s="32" t="n"/>
      <c r="G49" s="32" t="n"/>
      <c r="H49" s="32" t="n"/>
      <c r="I49" s="1" t="n"/>
      <c r="J49" s="31" t="n">
        <v>2019</v>
      </c>
      <c r="K49" s="32" t="n"/>
      <c r="L49" s="32" t="n">
        <v>6</v>
      </c>
      <c r="M49" s="32" t="n"/>
      <c r="N49" s="32" t="n"/>
      <c r="O49" s="32" t="n"/>
      <c r="P49" s="32" t="n"/>
    </row>
    <row r="50" ht="13" customHeight="1">
      <c r="A50" s="1" t="n"/>
      <c r="B50" s="31" t="n">
        <v>2018</v>
      </c>
      <c r="C50" s="32" t="n">
        <v>1</v>
      </c>
      <c r="D50" s="32" t="n"/>
      <c r="E50" s="32" t="n"/>
      <c r="F50" s="32" t="n"/>
      <c r="G50" s="32" t="n"/>
      <c r="H50" s="32" t="n"/>
      <c r="I50" s="1" t="n"/>
      <c r="J50" s="31" t="n">
        <v>2018</v>
      </c>
      <c r="K50" s="32" t="n"/>
      <c r="L50" s="32" t="n"/>
      <c r="M50" s="32" t="n"/>
      <c r="N50" s="32" t="n"/>
      <c r="O50" s="32" t="n"/>
      <c r="P50" s="32" t="n"/>
    </row>
    <row r="51" ht="13" customHeight="1">
      <c r="A51" s="1" t="n"/>
      <c r="B51" s="31" t="n">
        <v>2017</v>
      </c>
      <c r="C51" s="32" t="n">
        <v>2</v>
      </c>
      <c r="D51" s="32" t="n">
        <v>1</v>
      </c>
      <c r="E51" s="32" t="n"/>
      <c r="F51" s="32" t="n"/>
      <c r="G51" s="32" t="n"/>
      <c r="H51" s="32" t="n"/>
      <c r="I51" s="1" t="n"/>
      <c r="J51" s="31" t="n">
        <v>2017</v>
      </c>
      <c r="K51" s="32" t="n">
        <v>2</v>
      </c>
      <c r="L51" s="32" t="n">
        <v>2</v>
      </c>
      <c r="M51" s="32" t="n"/>
      <c r="N51" s="32" t="n"/>
      <c r="O51" s="32" t="n"/>
      <c r="P51" s="32" t="n"/>
    </row>
    <row r="52" ht="13" customHeight="1">
      <c r="A52" s="1" t="n"/>
      <c r="B52" s="31" t="n">
        <v>2016</v>
      </c>
      <c r="C52" s="32" t="n">
        <v>2</v>
      </c>
      <c r="D52" s="32" t="n">
        <v>2</v>
      </c>
      <c r="E52" s="32" t="n">
        <v>2</v>
      </c>
      <c r="F52" s="32" t="n"/>
      <c r="G52" s="32" t="n"/>
      <c r="H52" s="32" t="n"/>
      <c r="I52" s="1" t="n"/>
      <c r="J52" s="31" t="n">
        <v>2016</v>
      </c>
      <c r="K52" s="32" t="n"/>
      <c r="L52" s="32" t="n"/>
      <c r="M52" s="32" t="n"/>
      <c r="N52" s="32" t="n"/>
      <c r="O52" s="32" t="n"/>
      <c r="P52" s="32" t="n"/>
    </row>
    <row r="53" ht="13" customHeight="1">
      <c r="A53" s="1" t="n"/>
      <c r="B53" s="33" t="n">
        <v>2015</v>
      </c>
      <c r="C53" s="34" t="n"/>
      <c r="D53" s="34" t="n">
        <v>2</v>
      </c>
      <c r="E53" s="34" t="n">
        <v>2</v>
      </c>
      <c r="F53" s="34" t="n"/>
      <c r="G53" s="34" t="n"/>
      <c r="H53" s="34" t="n"/>
      <c r="I53" s="1" t="n"/>
      <c r="J53" s="33" t="n">
        <v>2015</v>
      </c>
      <c r="K53" s="34" t="n"/>
      <c r="L53" s="34" t="n"/>
      <c r="M53" s="34" t="n"/>
      <c r="N53" s="34" t="n"/>
      <c r="O53" s="34" t="n"/>
      <c r="P53" s="34" t="n"/>
    </row>
    <row r="54" ht="13" customHeight="1">
      <c r="A54" s="1" t="n"/>
      <c r="B54" s="33" t="n">
        <v>2014</v>
      </c>
      <c r="C54" s="34" t="n">
        <v>1</v>
      </c>
      <c r="D54" s="34" t="n"/>
      <c r="E54" s="34" t="n"/>
      <c r="F54" s="34" t="n"/>
      <c r="G54" s="34" t="n"/>
      <c r="H54" s="34" t="n"/>
      <c r="I54" s="1" t="n"/>
      <c r="J54" s="33" t="n">
        <v>2014</v>
      </c>
      <c r="K54" s="34" t="n"/>
      <c r="L54" s="34" t="n">
        <v>3</v>
      </c>
      <c r="M54" s="34" t="n"/>
      <c r="N54" s="34" t="n"/>
      <c r="O54" s="34" t="n"/>
      <c r="P54" s="34" t="n"/>
    </row>
    <row r="55" ht="13" customHeight="1">
      <c r="A55" s="1" t="n"/>
      <c r="B55" s="33" t="n">
        <v>2013</v>
      </c>
      <c r="C55" s="34" t="n">
        <v>1</v>
      </c>
      <c r="D55" s="34" t="n"/>
      <c r="E55" s="34" t="n">
        <v>4</v>
      </c>
      <c r="F55" s="34" t="n">
        <v>3</v>
      </c>
      <c r="G55" s="34" t="n">
        <v>2</v>
      </c>
      <c r="H55" s="34" t="n"/>
      <c r="I55" s="1" t="n"/>
      <c r="J55" s="33" t="n">
        <v>2013</v>
      </c>
      <c r="K55" s="34" t="n"/>
      <c r="L55" s="34" t="n"/>
      <c r="M55" s="34" t="n">
        <v>2</v>
      </c>
      <c r="N55" s="34" t="n">
        <v>2</v>
      </c>
      <c r="O55" s="34" t="n"/>
      <c r="P55" s="34" t="n"/>
    </row>
    <row r="56" ht="13" customHeight="1">
      <c r="A56" s="1" t="n"/>
      <c r="B56" s="33" t="n">
        <v>2012</v>
      </c>
      <c r="C56" s="34" t="n">
        <v>1</v>
      </c>
      <c r="D56" s="34" t="n">
        <v>2</v>
      </c>
      <c r="E56" s="34" t="n"/>
      <c r="F56" s="34" t="n"/>
      <c r="G56" s="34" t="n"/>
      <c r="H56" s="34" t="n"/>
      <c r="I56" s="1" t="n"/>
      <c r="J56" s="33" t="n">
        <v>2012</v>
      </c>
      <c r="K56" s="34" t="n"/>
      <c r="L56" s="34" t="n">
        <v>3</v>
      </c>
      <c r="M56" s="34" t="n">
        <v>1</v>
      </c>
      <c r="N56" s="34" t="n"/>
      <c r="O56" s="34" t="n"/>
      <c r="P56" s="34" t="n"/>
    </row>
    <row r="57" ht="13" customHeight="1">
      <c r="A57" s="1" t="n"/>
      <c r="B57" s="33" t="n">
        <v>2011</v>
      </c>
      <c r="C57" s="34" t="n"/>
      <c r="D57" s="34" t="n"/>
      <c r="E57" s="34" t="n"/>
      <c r="F57" s="34" t="n">
        <v>3</v>
      </c>
      <c r="G57" s="34" t="n"/>
      <c r="H57" s="34" t="n"/>
      <c r="I57" s="1" t="n"/>
      <c r="J57" s="33" t="n">
        <v>2011</v>
      </c>
      <c r="K57" s="34" t="n"/>
      <c r="L57" s="34" t="n"/>
      <c r="M57" s="34" t="n"/>
      <c r="N57" s="34" t="n">
        <v>3</v>
      </c>
      <c r="O57" s="34" t="n"/>
      <c r="P57" s="34" t="n"/>
    </row>
    <row r="58" ht="13" customHeight="1">
      <c r="A58" s="1" t="n"/>
      <c r="B58" s="35" t="n">
        <v>2010</v>
      </c>
      <c r="C58" s="36" t="n"/>
      <c r="D58" s="36" t="n">
        <v>1</v>
      </c>
      <c r="E58" s="36" t="n"/>
      <c r="F58" s="36" t="n"/>
      <c r="G58" s="36" t="n"/>
      <c r="H58" s="36" t="n"/>
      <c r="I58" s="1" t="n"/>
      <c r="J58" s="35" t="n">
        <v>2010</v>
      </c>
      <c r="K58" s="36" t="n"/>
      <c r="L58" s="36" t="n">
        <v>1</v>
      </c>
      <c r="M58" s="36" t="n"/>
      <c r="N58" s="36" t="n"/>
      <c r="O58" s="36" t="n"/>
      <c r="P58" s="36" t="n"/>
    </row>
    <row r="59" ht="13" customHeight="1">
      <c r="A59" s="1" t="n"/>
      <c r="B59" s="13" t="inlineStr">
        <is>
          <t>GTTL</t>
        </is>
      </c>
      <c r="C59" s="13" t="n">
        <v>19</v>
      </c>
      <c r="D59" s="13" t="n">
        <v>30</v>
      </c>
      <c r="E59" s="13" t="n">
        <v>10</v>
      </c>
      <c r="F59" s="13" t="n">
        <v>6</v>
      </c>
      <c r="G59" s="13" t="n">
        <v>2</v>
      </c>
      <c r="H59" s="13" t="n">
        <v>1</v>
      </c>
      <c r="I59" s="1" t="n"/>
      <c r="J59" s="13" t="inlineStr">
        <is>
          <t>GTTL</t>
        </is>
      </c>
      <c r="K59" s="13" t="n">
        <v>4</v>
      </c>
      <c r="L59" s="13" t="n">
        <v>37</v>
      </c>
      <c r="M59" s="13" t="n">
        <v>3</v>
      </c>
      <c r="N59" s="13" t="n">
        <v>5</v>
      </c>
      <c r="O59" s="13" t="n"/>
      <c r="P59" s="13" t="n">
        <v>1</v>
      </c>
    </row>
  </sheetData>
  <mergeCells count="17">
    <mergeCell ref="J40:J41"/>
    <mergeCell ref="J39:P39"/>
    <mergeCell ref="M40:N40"/>
    <mergeCell ref="B39:H39"/>
    <mergeCell ref="O40:P40"/>
    <mergeCell ref="H20:K20"/>
    <mergeCell ref="A1:K1"/>
    <mergeCell ref="E40:F40"/>
    <mergeCell ref="H2:J2"/>
    <mergeCell ref="H21:H22"/>
    <mergeCell ref="C40:D40"/>
    <mergeCell ref="B20:E20"/>
    <mergeCell ref="G40:H40"/>
    <mergeCell ref="B40:B41"/>
    <mergeCell ref="K40:L40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  <c r="M1" s="1" t="n"/>
      <c r="N1" s="1" t="n"/>
      <c r="O1" s="1" t="n"/>
      <c r="P1" s="1" t="n"/>
    </row>
    <row r="2" ht="13" customHeight="1">
      <c r="A2" s="1" t="n"/>
      <c r="M2" s="1" t="n"/>
      <c r="N2" s="1" t="n"/>
      <c r="O2" s="1" t="n"/>
      <c r="P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23" t="n"/>
      <c r="D4" s="23" t="n"/>
      <c r="E4" s="1" t="n"/>
      <c r="F4" s="39" t="inlineStr">
        <is>
          <t>COMBINED 40'RH STOCK</t>
        </is>
      </c>
      <c r="G4" s="23" t="n"/>
      <c r="H4" s="23" t="n"/>
      <c r="I4" s="1" t="n"/>
      <c r="J4" s="39" t="inlineStr">
        <is>
          <t>COMBINED 40'RH BOOKING</t>
        </is>
      </c>
      <c r="K4" s="23" t="n"/>
      <c r="L4" s="23" t="n"/>
      <c r="M4" s="1" t="n"/>
      <c r="N4" s="1" t="n"/>
      <c r="O4" s="1" t="n"/>
      <c r="P4" s="1" t="n"/>
    </row>
    <row r="5" ht="13" customHeight="1">
      <c r="A5" s="1" t="n"/>
      <c r="B5" s="40">
        <f>MIN('TOTAL RH'!D12,'TOTAL RH'!J12)</f>
        <v/>
      </c>
      <c r="C5" s="23" t="n"/>
      <c r="D5" s="23" t="n"/>
      <c r="E5" s="1" t="n"/>
      <c r="F5" s="41">
        <f>'TOTAL RH'!O5</f>
        <v/>
      </c>
      <c r="G5" s="23" t="n"/>
      <c r="H5" s="23" t="n"/>
      <c r="I5" s="1" t="n"/>
      <c r="J5" s="41">
        <f>'TOTAL RH'!O10</f>
        <v/>
      </c>
      <c r="K5" s="23" t="n"/>
      <c r="L5" s="23" t="n"/>
      <c r="M5" s="1" t="n"/>
      <c r="N5" s="1" t="n"/>
      <c r="O5" s="1" t="n"/>
      <c r="P5" s="1" t="n"/>
    </row>
    <row r="6" ht="13" customHeight="1">
      <c r="A6" s="1" t="n"/>
      <c r="B6" s="42">
        <f>"BKK27/LCH27 40'RH, worse "&amp;'TOTAL RH'!B12</f>
        <v/>
      </c>
      <c r="C6" s="23" t="n"/>
      <c r="D6" s="23" t="n"/>
      <c r="E6" s="1" t="n"/>
      <c r="F6" s="42" t="inlineStr">
        <is>
          <t>BKK27 + LCH27</t>
        </is>
      </c>
      <c r="G6" s="23" t="n"/>
      <c r="H6" s="23" t="n"/>
      <c r="I6" s="1" t="n"/>
      <c r="J6" s="42" t="inlineStr">
        <is>
          <t>pending + all weeks</t>
        </is>
      </c>
      <c r="K6" s="23" t="n"/>
      <c r="L6" s="23" t="n"/>
      <c r="M6" s="1" t="n"/>
      <c r="N6" s="1" t="n"/>
      <c r="O6" s="1" t="n"/>
      <c r="P6" s="1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1" t="n"/>
      <c r="D9" s="62" t="n"/>
      <c r="E9" s="1" t="n"/>
      <c r="F9" s="1" t="n"/>
      <c r="G9" s="1" t="n"/>
      <c r="H9" s="45">
        <f>'TOTAL RH'!H2</f>
        <v/>
      </c>
      <c r="I9" s="61" t="n"/>
      <c r="J9" s="62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2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2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52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49">
        <f>'TOTAL RH'!B9</f>
        <v/>
      </c>
      <c r="C17" s="50">
        <f>'TOTAL RH'!C9</f>
        <v/>
      </c>
      <c r="D17" s="50">
        <f>'TOTAL RH'!D9</f>
        <v/>
      </c>
      <c r="E17" s="1" t="n"/>
      <c r="F17" s="1" t="n"/>
      <c r="G17" s="1" t="n"/>
      <c r="H17" s="49">
        <f>'TOTAL RH'!H9</f>
        <v/>
      </c>
      <c r="I17" s="50">
        <f>'TOTAL RH'!I9</f>
        <v/>
      </c>
      <c r="J17" s="50">
        <f>'TOTAL RH'!J9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51">
        <f>'TOTAL RH'!B10</f>
        <v/>
      </c>
      <c r="C18" s="52">
        <f>'TOTAL RH'!C10</f>
        <v/>
      </c>
      <c r="D18" s="52">
        <f>'TOTAL RH'!D10</f>
        <v/>
      </c>
      <c r="E18" s="1" t="n"/>
      <c r="F18" s="1" t="n"/>
      <c r="G18" s="1" t="n"/>
      <c r="H18" s="51">
        <f>'TOTAL RH'!H10</f>
        <v/>
      </c>
      <c r="I18" s="52">
        <f>'TOTAL RH'!I10</f>
        <v/>
      </c>
      <c r="J18" s="63">
        <f>'TOTAL RH'!J10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49">
        <f>'TOTAL RH'!B11</f>
        <v/>
      </c>
      <c r="C20" s="50">
        <f>'TOTAL RH'!C11</f>
        <v/>
      </c>
      <c r="D20" s="50">
        <f>'TOTAL RH'!D11</f>
        <v/>
      </c>
      <c r="E20" s="1" t="n"/>
      <c r="F20" s="1" t="n"/>
      <c r="G20" s="1" t="n"/>
      <c r="H20" s="49">
        <f>'TOTAL RH'!H11</f>
        <v/>
      </c>
      <c r="I20" s="50">
        <f>'TOTAL RH'!I11</f>
        <v/>
      </c>
      <c r="J20" s="50">
        <f>'TOTAL RH'!J11</f>
        <v/>
      </c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51">
        <f>'TOTAL RH'!B12</f>
        <v/>
      </c>
      <c r="C21" s="52">
        <f>'TOTAL RH'!C12</f>
        <v/>
      </c>
      <c r="D21" s="63">
        <f>'TOTAL RH'!D12</f>
        <v/>
      </c>
      <c r="E21" s="1" t="n"/>
      <c r="F21" s="1" t="n"/>
      <c r="G21" s="1" t="n"/>
      <c r="H21" s="51">
        <f>'TOTAL RH'!H12</f>
        <v/>
      </c>
      <c r="I21" s="52">
        <f>'TOTAL RH'!I12</f>
        <v/>
      </c>
      <c r="J21" s="63">
        <f>'TOTAL RH'!J12</f>
        <v/>
      </c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43" t="inlineStr">
        <is>
          <t>REMARKS  (AV = move code IED/IEP/IER, DMG = move code OER)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44">
        <f>'TOTAL RH'!B2</f>
        <v/>
      </c>
      <c r="C25" s="61" t="n"/>
      <c r="D25" s="62" t="n"/>
      <c r="E25" s="1" t="n"/>
      <c r="F25" s="1" t="n"/>
      <c r="G25" s="1" t="n"/>
      <c r="H25" s="45">
        <f>'TOTAL RH'!H2</f>
        <v/>
      </c>
      <c r="I25" s="61" t="n"/>
      <c r="J25" s="62" t="n"/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23" t="n"/>
      <c r="C26" s="46" t="inlineStr">
        <is>
          <t>20'RE</t>
        </is>
      </c>
      <c r="D26" s="46" t="inlineStr">
        <is>
          <t>40'RH</t>
        </is>
      </c>
      <c r="E26" s="1" t="n"/>
      <c r="F26" s="1" t="n"/>
      <c r="G26" s="1" t="n"/>
      <c r="H26" s="23" t="n"/>
      <c r="I26" s="46" t="inlineStr">
        <is>
          <t>20'RE</t>
        </is>
      </c>
      <c r="J26" s="46" t="inlineStr">
        <is>
          <t>40'RH</t>
        </is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23" t="inlineStr">
        <is>
          <t>AV</t>
        </is>
      </c>
      <c r="C27" s="50">
        <f>'TOTAL RH'!C16</f>
        <v/>
      </c>
      <c r="D27" s="50">
        <f>'TOTAL RH'!D16</f>
        <v/>
      </c>
      <c r="E27" s="1" t="n"/>
      <c r="F27" s="1" t="n"/>
      <c r="G27" s="1" t="n"/>
      <c r="H27" s="23" t="inlineStr">
        <is>
          <t>AV</t>
        </is>
      </c>
      <c r="I27" s="50">
        <f>'TOTAL RH'!I16</f>
        <v/>
      </c>
      <c r="J27" s="50">
        <f>'TOTAL RH'!J16</f>
        <v/>
      </c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23" t="inlineStr">
        <is>
          <t>DMG</t>
        </is>
      </c>
      <c r="C28" s="50">
        <f>'TOTAL RH'!C17</f>
        <v/>
      </c>
      <c r="D28" s="50">
        <f>'TOTAL RH'!D17</f>
        <v/>
      </c>
      <c r="E28" s="1" t="n"/>
      <c r="F28" s="1" t="n"/>
      <c r="G28" s="1" t="n"/>
      <c r="H28" s="23" t="inlineStr">
        <is>
          <t>DMG</t>
        </is>
      </c>
      <c r="I28" s="50">
        <f>'TOTAL RH'!I17</f>
        <v/>
      </c>
      <c r="J28" s="50">
        <f>'TOTAL RH'!J17</f>
        <v/>
      </c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3" customHeight="1">
      <c r="A31" s="1" t="n"/>
      <c r="B31" s="43" t="inlineStr">
        <is>
          <t>RF SEASONAL — build year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39" t="inlineStr">
        <is>
          <t>BKK27 2020-26 BUILT</t>
        </is>
      </c>
      <c r="C32" s="23" t="n"/>
      <c r="D32" s="23" t="n"/>
      <c r="E32" s="1" t="n"/>
      <c r="F32" s="39" t="inlineStr">
        <is>
          <t>LCH27 2020-26 BUILT</t>
        </is>
      </c>
      <c r="G32" s="23" t="n"/>
      <c r="H32" s="23" t="n"/>
      <c r="I32" s="1" t="n"/>
      <c r="J32" s="39" t="inlineStr">
        <is>
          <t>PEAK BUILD YEAR</t>
        </is>
      </c>
      <c r="K32" s="23" t="n"/>
      <c r="L32" s="23" t="n"/>
      <c r="M32" s="1" t="n"/>
      <c r="N32" s="1" t="n"/>
      <c r="O32" s="1" t="n"/>
      <c r="P32" s="1" t="n"/>
    </row>
    <row r="33" ht="13" customHeight="1">
      <c r="A33" s="1" t="n"/>
      <c r="B33" s="53">
        <f>SUM('TOTAL RH'!D42:D48)+SUM('TOTAL RH'!F42:F48)+SUM('TOTAL RH'!H42:H48)</f>
        <v/>
      </c>
      <c r="C33" s="23" t="n"/>
      <c r="D33" s="23" t="n"/>
      <c r="E33" s="1" t="n"/>
      <c r="F33" s="54">
        <f>SUM('TOTAL RH'!L42:L48)+SUM('TOTAL RH'!N42:N48)+SUM('TOTAL RH'!P42:P48)</f>
        <v/>
      </c>
      <c r="G33" s="23" t="n"/>
      <c r="H33" s="23" t="n"/>
      <c r="I33" s="1" t="n"/>
      <c r="J33" s="41">
        <f>"2020"</f>
        <v/>
      </c>
      <c r="K33" s="23" t="n"/>
      <c r="L33" s="23" t="n"/>
      <c r="M33" s="1" t="n"/>
      <c r="N33" s="1" t="n"/>
      <c r="O33" s="1" t="n"/>
      <c r="P33" s="1" t="n"/>
    </row>
    <row r="34" ht="13" customHeight="1">
      <c r="A34" s="1" t="n"/>
      <c r="B34" s="42" t="inlineStr">
        <is>
          <t>of 40'RH on hand</t>
        </is>
      </c>
      <c r="C34" s="23" t="n"/>
      <c r="D34" s="23" t="n"/>
      <c r="E34" s="1" t="n"/>
      <c r="F34" s="42" t="inlineStr">
        <is>
          <t>of 40'RH on hand</t>
        </is>
      </c>
      <c r="G34" s="23" t="n"/>
      <c r="H34" s="23" t="n"/>
      <c r="I34" s="1" t="n"/>
      <c r="J34" s="42" t="inlineStr">
        <is>
          <t>16 units across both depots</t>
        </is>
      </c>
      <c r="K34" s="23" t="n"/>
      <c r="L34" s="23" t="n"/>
      <c r="M34" s="1" t="n"/>
      <c r="N34" s="1" t="n"/>
      <c r="O34" s="1" t="n"/>
      <c r="P34" s="1" t="n"/>
    </row>
    <row r="35" ht="13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39" t="inlineStr">
        <is>
          <t>BKK27 DURIAN  (2021-2026)</t>
        </is>
      </c>
      <c r="C36" s="23" t="n"/>
      <c r="D36" s="23" t="n"/>
      <c r="E36" s="1" t="n"/>
      <c r="F36" s="39" t="inlineStr">
        <is>
          <t>BKK27 NON DURIAN  (≤ 2020)</t>
        </is>
      </c>
      <c r="G36" s="23" t="n"/>
      <c r="H36" s="23" t="n"/>
      <c r="I36" s="1" t="n"/>
      <c r="J36" s="39" t="inlineStr">
        <is>
          <t>LCH27 DURIAN  (2021-2026)</t>
        </is>
      </c>
      <c r="K36" s="23" t="n"/>
      <c r="L36" s="23" t="n"/>
      <c r="M36" s="1" t="n"/>
      <c r="N36" s="39" t="inlineStr">
        <is>
          <t>LCH27 NON DURIAN  (≤ 2020)</t>
        </is>
      </c>
      <c r="O36" s="23" t="n"/>
      <c r="P36" s="23" t="n"/>
    </row>
    <row r="37" ht="13" customHeight="1">
      <c r="A37" s="1" t="n"/>
      <c r="B37" s="53">
        <f>'TOTAL RH'!B35</f>
        <v/>
      </c>
      <c r="C37" s="23" t="n"/>
      <c r="D37" s="23" t="n"/>
      <c r="E37" s="1" t="n"/>
      <c r="F37" s="53">
        <f>'TOTAL RH'!F35</f>
        <v/>
      </c>
      <c r="G37" s="23" t="n"/>
      <c r="H37" s="23" t="n"/>
      <c r="I37" s="1" t="n"/>
      <c r="J37" s="54">
        <f>'TOTAL RH'!J35</f>
        <v/>
      </c>
      <c r="K37" s="23" t="n"/>
      <c r="L37" s="23" t="n"/>
      <c r="M37" s="1" t="n"/>
      <c r="N37" s="54">
        <f>'TOTAL RH'!N35</f>
        <v/>
      </c>
      <c r="O37" s="23" t="n"/>
      <c r="P37" s="23" t="n"/>
    </row>
    <row r="38" ht="13" customHeight="1">
      <c r="A38" s="1" t="n"/>
      <c r="B38" s="42" t="inlineStr">
        <is>
          <t>40'RH stock</t>
        </is>
      </c>
      <c r="C38" s="23" t="n"/>
      <c r="D38" s="23" t="n"/>
      <c r="E38" s="1" t="n"/>
      <c r="F38" s="42" t="inlineStr">
        <is>
          <t>40'RH stock</t>
        </is>
      </c>
      <c r="G38" s="23" t="n"/>
      <c r="H38" s="23" t="n"/>
      <c r="I38" s="1" t="n"/>
      <c r="J38" s="42" t="inlineStr">
        <is>
          <t>40'RH stock</t>
        </is>
      </c>
      <c r="K38" s="23" t="n"/>
      <c r="L38" s="23" t="n"/>
      <c r="M38" s="1" t="n"/>
      <c r="N38" s="42" t="inlineStr">
        <is>
          <t>40'RH stock</t>
        </is>
      </c>
      <c r="O38" s="23" t="n"/>
      <c r="P38" s="23" t="n"/>
    </row>
    <row r="39" ht="13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44" t="inlineStr">
        <is>
          <t>BKK27 current mix</t>
        </is>
      </c>
      <c r="C40" s="61" t="n"/>
      <c r="D40" s="62" t="n"/>
      <c r="E40" s="1" t="n"/>
      <c r="F40" s="1" t="n"/>
      <c r="G40" s="1" t="n"/>
      <c r="H40" s="45" t="inlineStr">
        <is>
          <t>LCH27 current mix</t>
        </is>
      </c>
      <c r="I40" s="61" t="n"/>
      <c r="J40" s="62" t="n"/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23" t="n"/>
      <c r="C41" s="46" t="inlineStr">
        <is>
          <t>22RE</t>
        </is>
      </c>
      <c r="D41" s="46" t="inlineStr">
        <is>
          <t>45RE</t>
        </is>
      </c>
      <c r="E41" s="1" t="n"/>
      <c r="F41" s="1" t="n"/>
      <c r="G41" s="1" t="n"/>
      <c r="H41" s="23" t="n"/>
      <c r="I41" s="46" t="inlineStr">
        <is>
          <t>22RE</t>
        </is>
      </c>
      <c r="J41" s="46" t="inlineStr">
        <is>
          <t>45RE</t>
        </is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23" t="inlineStr">
        <is>
          <t>CARRIER</t>
        </is>
      </c>
      <c r="C42" s="50">
        <f>'TOTAL RH'!C59</f>
        <v/>
      </c>
      <c r="D42" s="50">
        <f>'TOTAL RH'!D59</f>
        <v/>
      </c>
      <c r="E42" s="1" t="n"/>
      <c r="F42" s="1" t="n"/>
      <c r="G42" s="1" t="n"/>
      <c r="H42" s="23" t="inlineStr">
        <is>
          <t>CARRIER</t>
        </is>
      </c>
      <c r="I42" s="50">
        <f>'TOTAL RH'!K59</f>
        <v/>
      </c>
      <c r="J42" s="50">
        <f>'TOTAL RH'!L59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23" t="inlineStr">
        <is>
          <t>DAIKIN</t>
        </is>
      </c>
      <c r="C43" s="50">
        <f>'TOTAL RH'!E59</f>
        <v/>
      </c>
      <c r="D43" s="50">
        <f>'TOTAL RH'!F59</f>
        <v/>
      </c>
      <c r="E43" s="1" t="n"/>
      <c r="F43" s="1" t="n"/>
      <c r="G43" s="1" t="n"/>
      <c r="H43" s="23" t="inlineStr">
        <is>
          <t>DAIKIN</t>
        </is>
      </c>
      <c r="I43" s="50">
        <f>'TOTAL RH'!M59</f>
        <v/>
      </c>
      <c r="J43" s="50">
        <f>'TOTAL RH'!N59</f>
        <v/>
      </c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23" t="inlineStr">
        <is>
          <t>THERMO KING</t>
        </is>
      </c>
      <c r="C44" s="50">
        <f>'TOTAL RH'!G59</f>
        <v/>
      </c>
      <c r="D44" s="50">
        <f>'TOTAL RH'!H59</f>
        <v/>
      </c>
      <c r="E44" s="1" t="n"/>
      <c r="F44" s="1" t="n"/>
      <c r="G44" s="1" t="n"/>
      <c r="H44" s="23" t="inlineStr">
        <is>
          <t>THERMO KING</t>
        </is>
      </c>
      <c r="I44" s="50">
        <f>'TOTAL RH'!O59</f>
        <v/>
      </c>
      <c r="J44" s="50">
        <f>'TOTAL RH'!P59</f>
        <v/>
      </c>
      <c r="K44" s="1" t="n"/>
      <c r="L44" s="1" t="n"/>
      <c r="M44" s="1" t="n"/>
      <c r="N44" s="1" t="n"/>
      <c r="O44" s="1" t="n"/>
      <c r="P44" s="1" t="n"/>
    </row>
    <row r="45" ht="13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3" customHeight="1">
      <c r="A46" s="1" t="n"/>
      <c r="B46" s="55" t="inlineStr">
        <is>
          <t>Full 2010-2026 Year x Brand x Size breakdown is on the TOTAL RH sheet.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7">
    <mergeCell ref="B40:D40"/>
    <mergeCell ref="B9:D9"/>
    <mergeCell ref="B1:L2"/>
    <mergeCell ref="H40:J40"/>
    <mergeCell ref="H9:J9"/>
    <mergeCell ref="B25:D25"/>
    <mergeCell ref="H25:J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2026-10-07T01:37:43Z</dcterms:created>
  <dcterms:modified xmlns:dcterms="http://purl.org/dc/terms/" xmlns:xsi="http://www.w3.org/2001/XMLSchema-instance" xsi:type="dcterms:W3CDTF">2026-10-07T01:37:49Z</dcterms:modified>
</cp:coreProperties>
</file>