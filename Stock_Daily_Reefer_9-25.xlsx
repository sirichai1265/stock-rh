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46290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46297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46301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46296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46297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46304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46294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46293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46304</v>
      </c>
      <c r="C9" s="1" t="n">
        <v>0</v>
      </c>
      <c r="D9" s="1" t="n">
        <v>1</v>
      </c>
    </row>
    <row r="10" ht="13" customHeight="1">
      <c r="A10" s="1" t="inlineStr">
        <is>
          <t>BKK27</t>
        </is>
      </c>
      <c r="B10" s="2" t="n">
        <v>46294</v>
      </c>
      <c r="C10" s="1" t="n">
        <v>0</v>
      </c>
      <c r="D10" s="1" t="n">
        <v>1</v>
      </c>
    </row>
    <row r="11" ht="13" customHeight="1">
      <c r="A11" s="1" t="inlineStr">
        <is>
          <t>LCH27</t>
        </is>
      </c>
      <c r="B11" s="2" t="n">
        <v>46291</v>
      </c>
      <c r="C11" s="1" t="n">
        <v>0</v>
      </c>
      <c r="D11" s="1" t="n">
        <v>1</v>
      </c>
    </row>
    <row r="12" ht="13" customHeight="1">
      <c r="A12" s="1" t="inlineStr">
        <is>
          <t>BKK27</t>
        </is>
      </c>
      <c r="B12" s="2" t="n">
        <v>46293</v>
      </c>
      <c r="C12" s="1" t="n">
        <v>0</v>
      </c>
      <c r="D12" s="1" t="n">
        <v>1</v>
      </c>
    </row>
    <row r="13" ht="13" customHeight="1">
      <c r="A13" s="1" t="inlineStr">
        <is>
          <t>LCH27</t>
        </is>
      </c>
      <c r="B13" s="2" t="n">
        <v>46298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46297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46296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46295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46290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46302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46295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46297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46296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46302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46290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46291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46293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46303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46291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46298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46296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46304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46298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46298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46293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46294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46305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46295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46302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46295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46304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46290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46291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46295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46294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46291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46291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46291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46302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46300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46295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46300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46296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46291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46295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46290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46294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46290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46293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46293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46303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46296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46297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46291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46302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46297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46296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46302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46293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46293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46295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46295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46303</v>
      </c>
      <c r="C71" s="1" t="n">
        <v>0</v>
      </c>
      <c r="D71" s="1" t="n">
        <v>2</v>
      </c>
    </row>
    <row r="72" ht="13" customHeight="1">
      <c r="A72" s="1" t="inlineStr">
        <is>
          <t>LCH27</t>
        </is>
      </c>
      <c r="B72" s="2" t="n">
        <v>46303</v>
      </c>
      <c r="C72" s="1" t="n">
        <v>0</v>
      </c>
      <c r="D72" s="1" t="n">
        <v>2</v>
      </c>
    </row>
    <row r="73" ht="13" customHeight="1">
      <c r="A73" s="1" t="inlineStr">
        <is>
          <t>LCH27</t>
        </is>
      </c>
      <c r="B73" s="2" t="n">
        <v>46297</v>
      </c>
      <c r="C73" s="1" t="n">
        <v>0</v>
      </c>
      <c r="D73" s="1" t="n">
        <v>3</v>
      </c>
    </row>
    <row r="74" ht="13" customHeight="1">
      <c r="A74" s="1" t="inlineStr">
        <is>
          <t>LCH27</t>
        </is>
      </c>
      <c r="B74" s="2" t="n">
        <v>46294</v>
      </c>
      <c r="C74" s="1" t="n">
        <v>0</v>
      </c>
      <c r="D74" s="1" t="n">
        <v>4</v>
      </c>
    </row>
    <row r="75" ht="13" customHeight="1">
      <c r="A75" s="1" t="inlineStr">
        <is>
          <t>BKK27</t>
        </is>
      </c>
      <c r="B75" s="2" t="n">
        <v>46293</v>
      </c>
      <c r="C75" s="1" t="n">
        <v>0</v>
      </c>
      <c r="D75" s="1" t="n">
        <v>5</v>
      </c>
    </row>
    <row r="76" ht="13" customHeight="1">
      <c r="A76" s="1" t="inlineStr">
        <is>
          <t>BKK27</t>
        </is>
      </c>
      <c r="B76" s="2" t="n">
        <v>46293</v>
      </c>
      <c r="C76" s="1" t="n">
        <v>0</v>
      </c>
      <c r="D76" s="1" t="n">
        <v>6</v>
      </c>
    </row>
    <row r="77" ht="13" customHeight="1">
      <c r="A77" s="1" t="inlineStr">
        <is>
          <t>BKK27</t>
        </is>
      </c>
      <c r="B77" s="2" t="n">
        <v>46301</v>
      </c>
      <c r="C77" s="1" t="n">
        <v>0</v>
      </c>
      <c r="D77" s="1" t="n">
        <v>7</v>
      </c>
    </row>
    <row r="78" ht="13" customHeight="1">
      <c r="A78" s="1" t="inlineStr">
        <is>
          <t>LCH27</t>
        </is>
      </c>
      <c r="B78" s="2" t="n">
        <v>46279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46279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46289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46286</v>
      </c>
      <c r="C81" s="1" t="n">
        <v>0</v>
      </c>
      <c r="D81" s="1" t="n">
        <v>1</v>
      </c>
    </row>
    <row r="82" ht="13" customHeight="1">
      <c r="A82" s="1" t="inlineStr">
        <is>
          <t>BKK27</t>
        </is>
      </c>
      <c r="B82" s="2" t="n">
        <v>46288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46288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46289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46289</v>
      </c>
      <c r="C85" s="1" t="n">
        <v>0</v>
      </c>
      <c r="D85" s="1" t="n">
        <v>1</v>
      </c>
    </row>
    <row r="86" ht="13" customHeight="1">
      <c r="A86" s="1" t="inlineStr">
        <is>
          <t>BKK27</t>
        </is>
      </c>
      <c r="B86" s="2" t="n">
        <v>46288</v>
      </c>
      <c r="C86" s="1" t="n">
        <v>0</v>
      </c>
      <c r="D8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IED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45RE</t>
        </is>
      </c>
      <c r="C9" s="1" t="inlineStr">
        <is>
          <t>OER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OER</t>
        </is>
      </c>
    </row>
    <row r="11" ht="13" customHeight="1">
      <c r="A11" s="1" t="inlineStr">
        <is>
          <t>BKK27</t>
        </is>
      </c>
      <c r="B11" s="1" t="inlineStr">
        <is>
          <t>45RE</t>
        </is>
      </c>
      <c r="C11" s="1" t="inlineStr">
        <is>
          <t>OER</t>
        </is>
      </c>
    </row>
    <row r="12" ht="13" customHeight="1">
      <c r="A12" s="1" t="inlineStr">
        <is>
          <t>BKK27</t>
        </is>
      </c>
      <c r="B12" s="1" t="inlineStr">
        <is>
          <t>45RE</t>
        </is>
      </c>
      <c r="C12" s="1" t="inlineStr">
        <is>
          <t>IED</t>
        </is>
      </c>
    </row>
    <row r="13" ht="13" customHeight="1">
      <c r="A13" s="1" t="inlineStr">
        <is>
          <t>BKK27</t>
        </is>
      </c>
      <c r="B13" s="1" t="inlineStr">
        <is>
          <t>45RE</t>
        </is>
      </c>
      <c r="C13" s="1" t="inlineStr">
        <is>
          <t>IED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IED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OER</t>
        </is>
      </c>
    </row>
    <row r="16" ht="13" customHeight="1">
      <c r="A16" s="1" t="inlineStr">
        <is>
          <t>LCH27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LCH27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45RE</t>
        </is>
      </c>
      <c r="C19" s="1" t="inlineStr">
        <is>
          <t>OER</t>
        </is>
      </c>
    </row>
    <row r="20" ht="13" customHeight="1">
      <c r="A20" s="1" t="inlineStr">
        <is>
          <t>LCH27</t>
        </is>
      </c>
      <c r="B20" s="1" t="inlineStr">
        <is>
          <t>45RE</t>
        </is>
      </c>
      <c r="C20" s="1" t="inlineStr">
        <is>
          <t>IER</t>
        </is>
      </c>
    </row>
    <row r="21" ht="13" customHeight="1">
      <c r="A21" s="1" t="inlineStr">
        <is>
          <t>LCH27</t>
        </is>
      </c>
      <c r="B21" s="1" t="inlineStr">
        <is>
          <t>45RE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OER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OER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45RE</t>
        </is>
      </c>
      <c r="C45" s="1" t="inlineStr">
        <is>
          <t>OER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OER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OER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OER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OER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OER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IED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IED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IED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IED</t>
        </is>
      </c>
    </row>
    <row r="61" ht="13" customHeight="1">
      <c r="A61" s="1" t="inlineStr">
        <is>
          <t>BKK27</t>
        </is>
      </c>
      <c r="B61" s="1" t="inlineStr">
        <is>
          <t>22RE</t>
        </is>
      </c>
      <c r="C61" s="1" t="inlineStr">
        <is>
          <t>IER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IED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IED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IED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IED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BKK27</t>
        </is>
      </c>
      <c r="B75" s="1" t="inlineStr">
        <is>
          <t>45RE</t>
        </is>
      </c>
      <c r="C75" s="1" t="inlineStr">
        <is>
          <t>IED</t>
        </is>
      </c>
    </row>
    <row r="76" ht="13" customHeight="1">
      <c r="A76" s="1" t="inlineStr">
        <is>
          <t>BKK27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IED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IED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IED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22RE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22RE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22RE</t>
        </is>
      </c>
      <c r="C87" s="1" t="inlineStr">
        <is>
          <t>IER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30</v>
      </c>
      <c r="D4" s="10" t="n">
        <v>46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40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C6" s="7">
        <f>SUMIFS(BookingRaw!$C$2:$C$8000,BookingRaw!$A$2:$A$8000,"BKK27",BookingRaw!$B$2:$B$8000,"&gt;="&amp;Control!$B$1,BookingRaw!$B$2:$B$8000,"&lt;="&amp;Control!$C$4)</f>
        <v/>
      </c>
      <c r="D6" s="7">
        <f>SUMIFS(BookingRaw!$D$2:$D$8000,BookingRaw!$A$2:$A$8000,"BKK27",BookingRaw!$B$2:$B$8000,"&gt;="&amp;Control!$B$1,BookingRaw!$B$2:$B$8000,"&lt;="&amp;Control!$C$4)</f>
        <v/>
      </c>
      <c r="E6" s="1" t="n"/>
      <c r="F6" s="1" t="n"/>
      <c r="G6" s="7">
        <f>Control!$A$4</f>
        <v/>
      </c>
      <c r="H6" s="7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I6" s="7">
        <f>SUMIFS(BookingRaw!$C$2:$C$8000,BookingRaw!$A$2:$A$8000,"LCH27",BookingRaw!$B$2:$B$8000,"&gt;="&amp;Control!$B$1,BookingRaw!$B$2:$B$8000,"&lt;="&amp;Control!$C$4)</f>
        <v/>
      </c>
      <c r="J6" s="7">
        <f>SUMIFS(BookingRaw!$D$2:$D$8000,BookingRaw!$A$2:$A$8000,"LCH27",BookingRaw!$B$2:$B$8000,"&gt;="&amp;Control!$B$1,BookingRaw!$B$2:$B$8000,"&lt;="&amp;Control!$C$4)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2">
        <f>"AV Balance till "&amp;DAY(Control!$C$4)&amp;" "&amp;CHOOSE(MONTH(Control!$C$4),"JAN","FEB","MAR","APR","MAY","JUN","JUL","AUG","SEP","OCT","NOV","DEC")</f>
        <v/>
      </c>
      <c r="C7" s="58">
        <f>C4-C5-C6</f>
        <v/>
      </c>
      <c r="D7" s="58">
        <f>D4-D5-D6</f>
        <v/>
      </c>
      <c r="E7" s="1" t="n"/>
      <c r="F7" s="1" t="n"/>
      <c r="G7" s="1" t="n"/>
      <c r="H7" s="12">
        <f>"AV Balance till "&amp;DAY(Control!$C$4)&amp;" "&amp;CHOOSE(MONTH(Control!$C$4),"JAN","FEB","MAR","APR","MAY","JUN","JUL","AUG","SEP","OCT","NOV","DEC")</f>
        <v/>
      </c>
      <c r="I7" s="58">
        <f>I4-I5-I6</f>
        <v/>
      </c>
      <c r="J7" s="58">
        <f>J4-J5-J6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7">
        <f>Control!$A$5</f>
        <v/>
      </c>
      <c r="B8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8" s="7">
        <f>SUMIFS(BookingRaw!$C$2:$C$8000,BookingRaw!$A$2:$A$8000,"BKK27",BookingRaw!$B$2:$B$8000,"&gt;="&amp;Control!$B5,BookingRaw!$B$2:$B$8000,"&lt;="&amp;Control!$C5)</f>
        <v/>
      </c>
      <c r="D8" s="7">
        <f>SUMIFS(BookingRaw!$D$2:$D$8000,BookingRaw!$A$2:$A$8000,"BKK27",BookingRaw!$B$2:$B$8000,"&gt;="&amp;Control!$B5,BookingRaw!$B$2:$B$8000,"&lt;="&amp;Control!$C5)</f>
        <v/>
      </c>
      <c r="E8" s="1" t="n"/>
      <c r="F8" s="1" t="n"/>
      <c r="G8" s="7">
        <f>Control!$A$5</f>
        <v/>
      </c>
      <c r="H8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8" s="7">
        <f>SUMIFS(BookingRaw!$C$2:$C$8000,BookingRaw!$A$2:$A$8000,"LCH27",BookingRaw!$B$2:$B$8000,"&gt;="&amp;Control!$B5,BookingRaw!$B$2:$B$8000,"&lt;="&amp;Control!$C5)</f>
        <v/>
      </c>
      <c r="J8" s="7">
        <f>SUMIFS(BookingRaw!$D$2:$D$8000,BookingRaw!$A$2:$A$8000,"LCH27",BookingRaw!$B$2:$B$8000,"&gt;="&amp;Control!$B5,BookingRaw!$B$2:$B$8000,"&lt;="&amp;Control!$C5)</f>
        <v/>
      </c>
      <c r="K8" s="1" t="n"/>
      <c r="L8" s="1" t="n"/>
      <c r="M8" s="7" t="inlineStr">
        <is>
          <t>BC</t>
        </is>
      </c>
      <c r="N8" s="8">
        <f>C5+C6+C8+C10+C12</f>
        <v/>
      </c>
      <c r="O8" s="8">
        <f>D5+D6+D8+D10+D12</f>
        <v/>
      </c>
      <c r="P8" s="1" t="n"/>
    </row>
    <row r="9" ht="13" customHeight="1">
      <c r="A9" s="1" t="n"/>
      <c r="B9" s="12">
        <f>"AV Balance till "&amp;DAY(Control!$C5)&amp;" "&amp;CHOOSE(MONTH(Control!$C5),"JAN","FEB","MAR","APR","MAY","JUN","JUL","AUG","SEP","OCT","NOV","DEC")</f>
        <v/>
      </c>
      <c r="C9" s="58">
        <f>C7-C8</f>
        <v/>
      </c>
      <c r="D9" s="58">
        <f>D7-D8</f>
        <v/>
      </c>
      <c r="E9" s="1" t="n"/>
      <c r="F9" s="1" t="n"/>
      <c r="G9" s="1" t="n"/>
      <c r="H9" s="12">
        <f>"AV Balance till "&amp;DAY(Control!$C5)&amp;" "&amp;CHOOSE(MONTH(Control!$C5),"JAN","FEB","MAR","APR","MAY","JUN","JUL","AUG","SEP","OCT","NOV","DEC")</f>
        <v/>
      </c>
      <c r="I9" s="58">
        <f>I7-I8</f>
        <v/>
      </c>
      <c r="J9" s="58">
        <f>J7-J8</f>
        <v/>
      </c>
      <c r="K9" s="1" t="n"/>
      <c r="L9" s="1" t="n"/>
      <c r="M9" s="7" t="inlineStr">
        <is>
          <t>HAST</t>
        </is>
      </c>
      <c r="N9" s="8">
        <f>I5+I6+I8+I10+I12</f>
        <v/>
      </c>
      <c r="O9" s="8">
        <f>J5+J6+J8+J10+J12</f>
        <v/>
      </c>
      <c r="P9" s="1" t="n"/>
    </row>
    <row r="10" ht="13" customHeight="1">
      <c r="A10" s="7">
        <f>Control!$A$6</f>
        <v/>
      </c>
      <c r="B10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0" s="7">
        <f>SUMIFS(BookingRaw!$C$2:$C$8000,BookingRaw!$A$2:$A$8000,"BKK27",BookingRaw!$B$2:$B$8000,"&gt;="&amp;Control!$B6,BookingRaw!$B$2:$B$8000,"&lt;="&amp;Control!$C6)</f>
        <v/>
      </c>
      <c r="D10" s="7">
        <f>SUMIFS(BookingRaw!$D$2:$D$8000,BookingRaw!$A$2:$A$8000,"BKK27",BookingRaw!$B$2:$B$8000,"&gt;="&amp;Control!$B6,BookingRaw!$B$2:$B$8000,"&lt;="&amp;Control!$C6)</f>
        <v/>
      </c>
      <c r="E10" s="1" t="n"/>
      <c r="F10" s="1" t="n"/>
      <c r="G10" s="7">
        <f>Control!$A$6</f>
        <v/>
      </c>
      <c r="H10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0" s="7">
        <f>SUMIFS(BookingRaw!$C$2:$C$8000,BookingRaw!$A$2:$A$8000,"LCH27",BookingRaw!$B$2:$B$8000,"&gt;="&amp;Control!$B6,BookingRaw!$B$2:$B$8000,"&lt;="&amp;Control!$C6)</f>
        <v/>
      </c>
      <c r="J10" s="7">
        <f>SUMIFS(BookingRaw!$D$2:$D$8000,BookingRaw!$A$2:$A$8000,"LCH27",BookingRaw!$B$2:$B$8000,"&gt;="&amp;Control!$B6,BookingRaw!$B$2:$B$8000,"&lt;="&amp;Control!$C6)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1" t="n"/>
      <c r="B11" s="12">
        <f>"AV Balance till "&amp;DAY(Control!$C6)&amp;" "&amp;CHOOSE(MONTH(Control!$C6),"JAN","FEB","MAR","APR","MAY","JUN","JUL","AUG","SEP","OCT","NOV","DEC")</f>
        <v/>
      </c>
      <c r="C11" s="58">
        <f>C9-C10</f>
        <v/>
      </c>
      <c r="D11" s="59">
        <f>D9-D10</f>
        <v/>
      </c>
      <c r="E11" s="1" t="n"/>
      <c r="F11" s="1" t="n"/>
      <c r="G11" s="1" t="n"/>
      <c r="H11" s="12">
        <f>"AV Balance till "&amp;DAY(Control!$C6)&amp;" "&amp;CHOOSE(MONTH(Control!$C6),"JAN","FEB","MAR","APR","MAY","JUN","JUL","AUG","SEP","OCT","NOV","DEC")</f>
        <v/>
      </c>
      <c r="I11" s="58">
        <f>I9-I10</f>
        <v/>
      </c>
      <c r="J11" s="59">
        <f>J9-J10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7">
        <f>Control!$A$7</f>
        <v/>
      </c>
      <c r="B12" s="7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C12" s="7">
        <f>SUMIFS(BookingRaw!$C$2:$C$8000,BookingRaw!$A$2:$A$8000,"BKK27",BookingRaw!$B$2:$B$8000,"&gt;="&amp;Control!$B7,BookingRaw!$B$2:$B$8000,"&lt;="&amp;Control!$C7)</f>
        <v/>
      </c>
      <c r="D12" s="7">
        <f>SUMIFS(BookingRaw!$D$2:$D$8000,BookingRaw!$A$2:$A$8000,"BKK27",BookingRaw!$B$2:$B$8000,"&gt;="&amp;Control!$B7,BookingRaw!$B$2:$B$8000,"&lt;="&amp;Control!$C7)</f>
        <v/>
      </c>
      <c r="E12" s="1" t="n"/>
      <c r="F12" s="1" t="n"/>
      <c r="G12" s="7">
        <f>Control!$A$7</f>
        <v/>
      </c>
      <c r="H12" s="7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I12" s="7">
        <f>SUMIFS(BookingRaw!$C$2:$C$8000,BookingRaw!$A$2:$A$8000,"LCH27",BookingRaw!$B$2:$B$8000,"&gt;="&amp;Control!$B7,BookingRaw!$B$2:$B$8000,"&lt;="&amp;Control!$C7)</f>
        <v/>
      </c>
      <c r="J12" s="7">
        <f>SUMIFS(BookingRaw!$D$2:$D$8000,BookingRaw!$A$2:$A$8000,"LCH27",BookingRaw!$B$2:$B$8000,"&gt;="&amp;Control!$B7,BookingRaw!$B$2:$B$8000,"&lt;="&amp;Control!$C7)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2">
        <f>"AV Balance till "&amp;DAY(Control!$C7)&amp;" "&amp;CHOOSE(MONTH(Control!$C7),"JAN","FEB","MAR","APR","MAY","JUN","JUL","AUG","SEP","OCT","NOV","DEC")</f>
        <v/>
      </c>
      <c r="C13" s="58">
        <f>C11-C12</f>
        <v/>
      </c>
      <c r="D13" s="59">
        <f>D11-D12</f>
        <v/>
      </c>
      <c r="E13" s="1" t="n"/>
      <c r="F13" s="1" t="n"/>
      <c r="G13" s="1" t="n"/>
      <c r="H13" s="12">
        <f>"AV Balance till "&amp;DAY(Control!$C7)&amp;" "&amp;CHOOSE(MONTH(Control!$C7),"JAN","FEB","MAR","APR","MAY","JUN","JUL","AUG","SEP","OCT","NOV","DEC")</f>
        <v/>
      </c>
      <c r="I13" s="58">
        <f>I11-I12</f>
        <v/>
      </c>
      <c r="J13" s="59">
        <f>J11-J12</f>
        <v/>
      </c>
      <c r="K13" s="1" t="n"/>
      <c r="L13" s="1" t="n"/>
      <c r="M13" s="7" t="inlineStr">
        <is>
          <t>BC</t>
        </is>
      </c>
      <c r="N13" s="8">
        <f>C13</f>
        <v/>
      </c>
      <c r="O13" s="8">
        <f>D13</f>
        <v/>
      </c>
      <c r="P13" s="1" t="n"/>
    </row>
    <row r="14" ht="13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I13</f>
        <v/>
      </c>
      <c r="O14" s="8">
        <f>J13</f>
        <v/>
      </c>
      <c r="P14" s="1" t="n"/>
    </row>
    <row r="15" ht="13" customHeight="1">
      <c r="A15" s="14" t="inlineStr">
        <is>
          <t>Remarks:</t>
        </is>
      </c>
      <c r="B15" s="15" t="inlineStr">
        <is>
          <t>AV = stock with move code IED / IEP / IER (available)   |   DMG = move code OER (damaged)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" t="n"/>
      <c r="C16" s="6" t="inlineStr">
        <is>
          <t>20'RE</t>
        </is>
      </c>
      <c r="D16" s="6" t="inlineStr">
        <is>
          <t>40'RH</t>
        </is>
      </c>
      <c r="E16" s="1" t="n"/>
      <c r="F16" s="1" t="n"/>
      <c r="G16" s="1" t="n"/>
      <c r="H16" s="1" t="n"/>
      <c r="I16" s="6" t="inlineStr">
        <is>
          <t>20'RE</t>
        </is>
      </c>
      <c r="J16" s="6" t="inlineStr">
        <is>
          <t>40'RH</t>
        </is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AV</t>
        </is>
      </c>
      <c r="C17" s="8">
        <f>COUNTIFS(StockRaw!$A$2:$A$123,"BKK27",StockRaw!$B$2:$B$123,"22RE",StockRaw!$C$2:$C$123,"IED")+COUNTIFS(StockRaw!$A$2:$A$123,"BKK27",StockRaw!$B$2:$B$123,"22RE",StockRaw!$C$2:$C$123,"IEP")+COUNTIFS(StockRaw!$A$2:$A$123,"BKK27",StockRaw!$B$2:$B$123,"22RE",StockRaw!$C$2:$C$123,"IER")</f>
        <v/>
      </c>
      <c r="D17" s="8">
        <f>COUNTIFS(StockRaw!$A$2:$A$123,"BKK27",StockRaw!$B$2:$B$123,"45RE",StockRaw!$C$2:$C$123,"IED")+COUNTIFS(StockRaw!$A$2:$A$123,"BKK27",StockRaw!$B$2:$B$123,"45RE",StockRaw!$C$2:$C$123,"IEP")+COUNTIFS(StockRaw!$A$2:$A$123,"BKK27",StockRaw!$B$2:$B$123,"45RE",StockRaw!$C$2:$C$123,"IER")</f>
        <v/>
      </c>
      <c r="E17" s="1" t="n"/>
      <c r="F17" s="1" t="n"/>
      <c r="G17" s="1" t="n"/>
      <c r="H17" s="16" t="inlineStr">
        <is>
          <t>AV</t>
        </is>
      </c>
      <c r="I17" s="8">
        <f>COUNTIFS(StockRaw!$A$2:$A$123,"LCH27",StockRaw!$B$2:$B$123,"22RE",StockRaw!$C$2:$C$123,"IED")+COUNTIFS(StockRaw!$A$2:$A$123,"LCH27",StockRaw!$B$2:$B$123,"22RE",StockRaw!$C$2:$C$123,"IEP")+COUNTIFS(StockRaw!$A$2:$A$123,"LCH27",StockRaw!$B$2:$B$123,"22RE",StockRaw!$C$2:$C$123,"IER")</f>
        <v/>
      </c>
      <c r="J17" s="8">
        <f>COUNTIFS(StockRaw!$A$2:$A$123,"LCH27",StockRaw!$B$2:$B$123,"45RE",StockRaw!$C$2:$C$123,"IED")+COUNTIFS(StockRaw!$A$2:$A$123,"LCH27",StockRaw!$B$2:$B$123,"45RE",StockRaw!$C$2:$C$123,"IEP")+COUNTIFS(StockRaw!$A$2:$A$123,"LCH27",StockRaw!$B$2:$B$123,"45RE",StockRaw!$C$2:$C$123,"I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6" t="inlineStr">
        <is>
          <t>DMG</t>
        </is>
      </c>
      <c r="C18" s="8">
        <f>COUNTIFS(StockRaw!$A$2:$A$123,"BKK27",StockRaw!$B$2:$B$123,"22RE",StockRaw!$C$2:$C$123,"OER")</f>
        <v/>
      </c>
      <c r="D18" s="8">
        <f>COUNTIFS(StockRaw!$A$2:$A$123,"BKK27",StockRaw!$B$2:$B$123,"45RE",StockRaw!$C$2:$C$123,"OER")</f>
        <v/>
      </c>
      <c r="E18" s="1" t="n"/>
      <c r="F18" s="1" t="n"/>
      <c r="G18" s="1" t="n"/>
      <c r="H18" s="16" t="inlineStr">
        <is>
          <t>DMG</t>
        </is>
      </c>
      <c r="I18" s="8">
        <f>COUNTIFS(StockRaw!$A$2:$A$123,"LCH27",StockRaw!$B$2:$B$123,"22RE",StockRaw!$C$2:$C$123,"OER")</f>
        <v/>
      </c>
      <c r="J18" s="8">
        <f>COUNTIFS(StockRaw!$A$2:$A$123,"LCH27",StockRaw!$B$2:$B$123,"45RE",StockRaw!$C$2:$C$123,"OER")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7" t="inlineStr">
        <is>
          <t>BKK / BC2 (BKK27)</t>
        </is>
      </c>
      <c r="C21" s="56" t="n"/>
      <c r="D21" s="56" t="n"/>
      <c r="E21" s="57" t="n"/>
      <c r="F21" s="1" t="n"/>
      <c r="G21" s="1" t="n"/>
      <c r="H21" s="17" t="inlineStr">
        <is>
          <t>LCH / HAST (LCH27)</t>
        </is>
      </c>
      <c r="I21" s="56" t="n"/>
      <c r="J21" s="56" t="n"/>
      <c r="K21" s="57" t="n"/>
      <c r="L21" s="1" t="n"/>
      <c r="M21" s="1" t="n"/>
      <c r="N21" s="1" t="n"/>
      <c r="O21" s="1" t="n"/>
      <c r="P21" s="1" t="n"/>
    </row>
    <row r="22" ht="13" customHeight="1">
      <c r="A22" s="1" t="n"/>
      <c r="B22" s="18" t="inlineStr">
        <is>
          <t>YEAR BUILT 5 YEARS
FOR DURIAN SEASON</t>
        </is>
      </c>
      <c r="C22" s="4" t="inlineStr">
        <is>
          <t>CARRIER</t>
        </is>
      </c>
      <c r="D22" s="4" t="inlineStr">
        <is>
          <t>DAIKIN</t>
        </is>
      </c>
      <c r="E22" s="4" t="inlineStr">
        <is>
          <t>THERMO KING</t>
        </is>
      </c>
      <c r="F22" s="1" t="n"/>
      <c r="G22" s="1" t="n"/>
      <c r="H22" s="18" t="inlineStr">
        <is>
          <t>YEAR BUILT 5 YEARS
FOR DURIAN SEASON</t>
        </is>
      </c>
      <c r="I22" s="4" t="inlineStr">
        <is>
          <t>CARRIER</t>
        </is>
      </c>
      <c r="J22" s="4" t="inlineStr">
        <is>
          <t>DAIKIN</t>
        </is>
      </c>
      <c r="K22" s="4" t="inlineStr">
        <is>
          <t>THERMO KING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60" t="n"/>
      <c r="C23" s="4" t="inlineStr">
        <is>
          <t>45RE</t>
        </is>
      </c>
      <c r="D23" s="4" t="inlineStr">
        <is>
          <t>45RE</t>
        </is>
      </c>
      <c r="E23" s="4" t="inlineStr">
        <is>
          <t>45RE</t>
        </is>
      </c>
      <c r="F23" s="1" t="n"/>
      <c r="G23" s="1" t="n"/>
      <c r="H23" s="60" t="n"/>
      <c r="I23" s="4" t="inlineStr">
        <is>
          <t>45RE</t>
        </is>
      </c>
      <c r="J23" s="4" t="inlineStr">
        <is>
          <t>45RE</t>
        </is>
      </c>
      <c r="K23" s="4" t="inlineStr">
        <is>
          <t>45RE</t>
        </is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2026</v>
      </c>
      <c r="C24" s="8" t="n">
        <v>0</v>
      </c>
      <c r="D24" s="8" t="n">
        <v>0</v>
      </c>
      <c r="E24" s="8" t="n">
        <v>0</v>
      </c>
      <c r="F24" s="1" t="n"/>
      <c r="G24" s="1" t="n"/>
      <c r="H24" s="8" t="n">
        <v>2026</v>
      </c>
      <c r="I24" s="8" t="n">
        <v>0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2025</v>
      </c>
      <c r="C25" s="8" t="n">
        <v>7</v>
      </c>
      <c r="D25" s="8" t="n">
        <v>0</v>
      </c>
      <c r="E25" s="8" t="n">
        <v>0</v>
      </c>
      <c r="F25" s="1" t="n"/>
      <c r="G25" s="1" t="n"/>
      <c r="H25" s="8" t="n">
        <v>2025</v>
      </c>
      <c r="I25" s="8" t="n">
        <v>10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2024</v>
      </c>
      <c r="C26" s="8" t="n">
        <v>0</v>
      </c>
      <c r="D26" s="8" t="n">
        <v>0</v>
      </c>
      <c r="E26" s="8" t="n">
        <v>0</v>
      </c>
      <c r="F26" s="1" t="n"/>
      <c r="G26" s="1" t="n"/>
      <c r="H26" s="8" t="n">
        <v>2024</v>
      </c>
      <c r="I26" s="8" t="n">
        <v>0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2023</v>
      </c>
      <c r="C27" s="8" t="n">
        <v>1</v>
      </c>
      <c r="D27" s="8" t="n">
        <v>0</v>
      </c>
      <c r="E27" s="8" t="n">
        <v>0</v>
      </c>
      <c r="F27" s="1" t="n"/>
      <c r="G27" s="1" t="n"/>
      <c r="H27" s="8" t="n">
        <v>2023</v>
      </c>
      <c r="I27" s="8" t="n">
        <v>3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2022</v>
      </c>
      <c r="C28" s="8" t="n">
        <v>0</v>
      </c>
      <c r="D28" s="8" t="n">
        <v>0</v>
      </c>
      <c r="E28" s="8" t="n">
        <v>0</v>
      </c>
      <c r="F28" s="1" t="n"/>
      <c r="G28" s="1" t="n"/>
      <c r="H28" s="8" t="n">
        <v>2022</v>
      </c>
      <c r="I28" s="8" t="n">
        <v>0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8" t="n">
        <v>2021</v>
      </c>
      <c r="C29" s="8" t="n">
        <v>10</v>
      </c>
      <c r="D29" s="8" t="n">
        <v>0</v>
      </c>
      <c r="E29" s="8" t="n">
        <v>0</v>
      </c>
      <c r="F29" s="1" t="n"/>
      <c r="G29" s="1" t="n"/>
      <c r="H29" s="8" t="n">
        <v>2021</v>
      </c>
      <c r="I29" s="8" t="n">
        <v>7</v>
      </c>
      <c r="J29" s="8" t="n">
        <v>0</v>
      </c>
      <c r="K29" s="8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6" t="inlineStr">
        <is>
          <t>TOTAL</t>
        </is>
      </c>
      <c r="C30" s="6" t="n">
        <v>18</v>
      </c>
      <c r="D30" s="6" t="n">
        <v>0</v>
      </c>
      <c r="E30" s="6" t="n">
        <v>0</v>
      </c>
      <c r="F30" s="1" t="n"/>
      <c r="G30" s="1" t="n"/>
      <c r="H30" s="6" t="inlineStr">
        <is>
          <t>TOTAL</t>
        </is>
      </c>
      <c r="I30" s="6" t="n">
        <v>20</v>
      </c>
      <c r="J30" s="6" t="n">
        <v>0</v>
      </c>
      <c r="K30" s="6" t="n">
        <v>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9" t="inlineStr">
        <is>
          <t>OVER 5 Y</t>
        </is>
      </c>
      <c r="E31" s="20" t="n">
        <v>28</v>
      </c>
      <c r="F31" s="1" t="n"/>
      <c r="G31" s="1" t="n"/>
      <c r="H31" s="1" t="n"/>
      <c r="I31" s="1" t="n"/>
      <c r="J31" s="19" t="inlineStr">
        <is>
          <t>OVER 5 Y</t>
        </is>
      </c>
      <c r="K31" s="20" t="n">
        <v>20</v>
      </c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" t="inlineStr">
        <is>
          <t>BKK27 / BC2  —  Stock by Built Year x Brand x Size</t>
        </is>
      </c>
      <c r="C34" s="56" t="n"/>
      <c r="D34" s="56" t="n"/>
      <c r="E34" s="56" t="n"/>
      <c r="F34" s="56" t="n"/>
      <c r="G34" s="56" t="n"/>
      <c r="H34" s="57" t="n"/>
      <c r="I34" s="1" t="n"/>
      <c r="J34" s="3" t="inlineStr">
        <is>
          <t>LCH27 / HAST  —  Stock by Built Year x Brand x Size</t>
        </is>
      </c>
      <c r="K34" s="56" t="n"/>
      <c r="L34" s="56" t="n"/>
      <c r="M34" s="56" t="n"/>
      <c r="N34" s="56" t="n"/>
      <c r="O34" s="56" t="n"/>
      <c r="P34" s="57" t="n"/>
    </row>
    <row r="35" ht="26" customHeight="1">
      <c r="A35" s="1" t="n"/>
      <c r="B35" s="18" t="inlineStr">
        <is>
          <t>YEAR
BUILT</t>
        </is>
      </c>
      <c r="C35" s="4" t="inlineStr">
        <is>
          <t>CARRIER</t>
        </is>
      </c>
      <c r="D35" s="57" t="n"/>
      <c r="E35" s="4" t="inlineStr">
        <is>
          <t>DAIKIN</t>
        </is>
      </c>
      <c r="F35" s="57" t="n"/>
      <c r="G35" s="4" t="inlineStr">
        <is>
          <t>THERMO KING</t>
        </is>
      </c>
      <c r="H35" s="57" t="n"/>
      <c r="I35" s="1" t="n"/>
      <c r="J35" s="18" t="inlineStr">
        <is>
          <t>YEAR
BUILT</t>
        </is>
      </c>
      <c r="K35" s="4" t="inlineStr">
        <is>
          <t>CARRIER</t>
        </is>
      </c>
      <c r="L35" s="57" t="n"/>
      <c r="M35" s="4" t="inlineStr">
        <is>
          <t>DAIKIN</t>
        </is>
      </c>
      <c r="N35" s="57" t="n"/>
      <c r="O35" s="4" t="inlineStr">
        <is>
          <t>THERMO KING</t>
        </is>
      </c>
      <c r="P35" s="57" t="n"/>
    </row>
    <row r="36" ht="13" customHeight="1">
      <c r="A36" s="1" t="n"/>
      <c r="B36" s="60" t="n"/>
      <c r="C36" s="22" t="inlineStr">
        <is>
          <t>20'RE</t>
        </is>
      </c>
      <c r="D36" s="22" t="inlineStr">
        <is>
          <t>40'RH</t>
        </is>
      </c>
      <c r="E36" s="22" t="inlineStr">
        <is>
          <t>20'RE</t>
        </is>
      </c>
      <c r="F36" s="22" t="inlineStr">
        <is>
          <t>40'RH</t>
        </is>
      </c>
      <c r="G36" s="22" t="inlineStr">
        <is>
          <t>20'RE</t>
        </is>
      </c>
      <c r="H36" s="22" t="inlineStr">
        <is>
          <t>40'RH</t>
        </is>
      </c>
      <c r="I36" s="1" t="n"/>
      <c r="J36" s="60" t="n"/>
      <c r="K36" s="22" t="inlineStr">
        <is>
          <t>20'RE</t>
        </is>
      </c>
      <c r="L36" s="22" t="inlineStr">
        <is>
          <t>40'RH</t>
        </is>
      </c>
      <c r="M36" s="22" t="inlineStr">
        <is>
          <t>20'RE</t>
        </is>
      </c>
      <c r="N36" s="22" t="inlineStr">
        <is>
          <t>40'RH</t>
        </is>
      </c>
      <c r="O36" s="22" t="inlineStr">
        <is>
          <t>20'RE</t>
        </is>
      </c>
      <c r="P36" s="22" t="inlineStr">
        <is>
          <t>40'RH</t>
        </is>
      </c>
    </row>
    <row r="37" ht="13" customHeight="1">
      <c r="A37" s="1" t="n"/>
      <c r="B37" s="23" t="n">
        <v>2026</v>
      </c>
      <c r="C37" s="24" t="n"/>
      <c r="D37" s="24" t="n"/>
      <c r="E37" s="24" t="n"/>
      <c r="F37" s="24" t="n"/>
      <c r="G37" s="24" t="n"/>
      <c r="H37" s="24" t="n"/>
      <c r="I37" s="1" t="n"/>
      <c r="J37" s="23" t="n">
        <v>2026</v>
      </c>
      <c r="K37" s="24" t="n"/>
      <c r="L37" s="24" t="n"/>
      <c r="M37" s="24" t="n"/>
      <c r="N37" s="24" t="n"/>
      <c r="O37" s="24" t="n"/>
      <c r="P37" s="24" t="n"/>
    </row>
    <row r="38" ht="13" customHeight="1">
      <c r="A38" s="1" t="n"/>
      <c r="B38" s="23" t="n">
        <v>2025</v>
      </c>
      <c r="C38" s="24" t="n"/>
      <c r="D38" s="24" t="n">
        <v>7</v>
      </c>
      <c r="E38" s="24" t="n">
        <v>2</v>
      </c>
      <c r="F38" s="24" t="n"/>
      <c r="G38" s="24" t="n"/>
      <c r="H38" s="24" t="n"/>
      <c r="I38" s="1" t="n"/>
      <c r="J38" s="23" t="n">
        <v>2025</v>
      </c>
      <c r="K38" s="24" t="n"/>
      <c r="L38" s="24" t="n">
        <v>10</v>
      </c>
      <c r="M38" s="24" t="n"/>
      <c r="N38" s="24" t="n"/>
      <c r="O38" s="24" t="n"/>
      <c r="P38" s="24" t="n"/>
    </row>
    <row r="39" ht="13" customHeight="1">
      <c r="A39" s="1" t="n"/>
      <c r="B39" s="23" t="n">
        <v>2024</v>
      </c>
      <c r="C39" s="24" t="n"/>
      <c r="D39" s="24" t="n"/>
      <c r="E39" s="24" t="n"/>
      <c r="F39" s="24" t="n"/>
      <c r="G39" s="24" t="n"/>
      <c r="H39" s="24" t="n"/>
      <c r="I39" s="1" t="n"/>
      <c r="J39" s="23" t="n">
        <v>2024</v>
      </c>
      <c r="K39" s="24" t="n"/>
      <c r="L39" s="24" t="n"/>
      <c r="M39" s="24" t="n"/>
      <c r="N39" s="24" t="n"/>
      <c r="O39" s="24" t="n"/>
      <c r="P39" s="24" t="n"/>
    </row>
    <row r="40" ht="13" customHeight="1">
      <c r="A40" s="1" t="n"/>
      <c r="B40" s="23" t="n">
        <v>2023</v>
      </c>
      <c r="C40" s="24" t="n"/>
      <c r="D40" s="24" t="n">
        <v>1</v>
      </c>
      <c r="E40" s="24" t="n"/>
      <c r="F40" s="24" t="n"/>
      <c r="G40" s="24" t="n"/>
      <c r="H40" s="24" t="n"/>
      <c r="I40" s="1" t="n"/>
      <c r="J40" s="23" t="n">
        <v>2023</v>
      </c>
      <c r="K40" s="24" t="n"/>
      <c r="L40" s="24" t="n">
        <v>3</v>
      </c>
      <c r="M40" s="24" t="n"/>
      <c r="N40" s="24" t="n"/>
      <c r="O40" s="24" t="n"/>
      <c r="P40" s="24" t="n"/>
    </row>
    <row r="41" ht="13" customHeight="1">
      <c r="A41" s="1" t="n"/>
      <c r="B41" s="23" t="n">
        <v>2022</v>
      </c>
      <c r="C41" s="24" t="n"/>
      <c r="D41" s="24" t="n"/>
      <c r="E41" s="24" t="n"/>
      <c r="F41" s="24" t="n"/>
      <c r="G41" s="24" t="n"/>
      <c r="H41" s="24" t="n"/>
      <c r="I41" s="1" t="n"/>
      <c r="J41" s="23" t="n">
        <v>2022</v>
      </c>
      <c r="K41" s="24" t="n"/>
      <c r="L41" s="24" t="n"/>
      <c r="M41" s="24" t="n"/>
      <c r="N41" s="24" t="n"/>
      <c r="O41" s="24" t="n"/>
      <c r="P41" s="24" t="n"/>
    </row>
    <row r="42" ht="13" customHeight="1">
      <c r="A42" s="1" t="n"/>
      <c r="B42" s="23" t="n">
        <v>2021</v>
      </c>
      <c r="C42" s="24" t="n">
        <v>7</v>
      </c>
      <c r="D42" s="24" t="n">
        <v>10</v>
      </c>
      <c r="E42" s="24" t="n"/>
      <c r="F42" s="24" t="n"/>
      <c r="G42" s="24" t="n"/>
      <c r="H42" s="24" t="n"/>
      <c r="I42" s="1" t="n"/>
      <c r="J42" s="23" t="n">
        <v>2021</v>
      </c>
      <c r="K42" s="24" t="n">
        <v>1</v>
      </c>
      <c r="L42" s="24" t="n">
        <v>7</v>
      </c>
      <c r="M42" s="24" t="n"/>
      <c r="N42" s="24" t="n"/>
      <c r="O42" s="24" t="n"/>
      <c r="P42" s="24" t="n"/>
    </row>
    <row r="43" ht="13" customHeight="1">
      <c r="A43" s="1" t="n"/>
      <c r="B43" s="25" t="n">
        <v>2020</v>
      </c>
      <c r="C43" s="26" t="n">
        <v>1</v>
      </c>
      <c r="D43" s="26" t="n">
        <v>11</v>
      </c>
      <c r="E43" s="26" t="n"/>
      <c r="F43" s="26" t="n"/>
      <c r="G43" s="26" t="n"/>
      <c r="H43" s="26" t="n"/>
      <c r="I43" s="1" t="n"/>
      <c r="J43" s="25" t="n">
        <v>2020</v>
      </c>
      <c r="K43" s="26" t="n"/>
      <c r="L43" s="26" t="n">
        <v>3</v>
      </c>
      <c r="M43" s="26" t="n"/>
      <c r="N43" s="26" t="n"/>
      <c r="O43" s="26" t="n"/>
      <c r="P43" s="26" t="n"/>
    </row>
    <row r="44" ht="13" customHeight="1">
      <c r="A44" s="1" t="n"/>
      <c r="B44" s="25" t="n">
        <v>2019</v>
      </c>
      <c r="C44" s="26" t="n">
        <v>4</v>
      </c>
      <c r="D44" s="26" t="n">
        <v>4</v>
      </c>
      <c r="E44" s="26" t="n"/>
      <c r="F44" s="26" t="n"/>
      <c r="G44" s="26" t="n"/>
      <c r="H44" s="26" t="n"/>
      <c r="I44" s="1" t="n"/>
      <c r="J44" s="25" t="n">
        <v>2019</v>
      </c>
      <c r="K44" s="26" t="n"/>
      <c r="L44" s="26" t="n">
        <v>8</v>
      </c>
      <c r="M44" s="26" t="n"/>
      <c r="N44" s="26" t="n"/>
      <c r="O44" s="26" t="n"/>
      <c r="P44" s="26" t="n"/>
    </row>
    <row r="45" ht="13" customHeight="1">
      <c r="A45" s="1" t="n"/>
      <c r="B45" s="25" t="n">
        <v>2018</v>
      </c>
      <c r="C45" s="26" t="n">
        <v>1</v>
      </c>
      <c r="D45" s="26" t="n"/>
      <c r="E45" s="26" t="n"/>
      <c r="F45" s="26" t="n"/>
      <c r="G45" s="26" t="n"/>
      <c r="H45" s="26" t="n"/>
      <c r="I45" s="1" t="n"/>
      <c r="J45" s="25" t="n">
        <v>2018</v>
      </c>
      <c r="K45" s="26" t="n"/>
      <c r="L45" s="26" t="n">
        <v>2</v>
      </c>
      <c r="M45" s="26" t="n"/>
      <c r="N45" s="26" t="n"/>
      <c r="O45" s="26" t="n"/>
      <c r="P45" s="26" t="n"/>
    </row>
    <row r="46" ht="13" customHeight="1">
      <c r="A46" s="1" t="n"/>
      <c r="B46" s="25" t="n">
        <v>2017</v>
      </c>
      <c r="C46" s="26" t="n">
        <v>1</v>
      </c>
      <c r="D46" s="26" t="n">
        <v>2</v>
      </c>
      <c r="E46" s="26" t="n"/>
      <c r="F46" s="26" t="n"/>
      <c r="G46" s="26" t="n"/>
      <c r="H46" s="26" t="n"/>
      <c r="I46" s="1" t="n"/>
      <c r="J46" s="25" t="n">
        <v>2017</v>
      </c>
      <c r="K46" s="26" t="n">
        <v>2</v>
      </c>
      <c r="L46" s="26" t="n"/>
      <c r="M46" s="26" t="n"/>
      <c r="N46" s="26" t="n"/>
      <c r="O46" s="26" t="n"/>
      <c r="P46" s="26" t="n"/>
    </row>
    <row r="47" ht="13" customHeight="1">
      <c r="A47" s="1" t="n"/>
      <c r="B47" s="25" t="n">
        <v>2016</v>
      </c>
      <c r="C47" s="26" t="n">
        <v>2</v>
      </c>
      <c r="D47" s="26" t="n"/>
      <c r="E47" s="26" t="n">
        <v>1</v>
      </c>
      <c r="F47" s="26" t="n"/>
      <c r="G47" s="26" t="n"/>
      <c r="H47" s="26" t="n"/>
      <c r="I47" s="1" t="n"/>
      <c r="J47" s="25" t="n">
        <v>2016</v>
      </c>
      <c r="K47" s="26" t="n"/>
      <c r="L47" s="26" t="n">
        <v>1</v>
      </c>
      <c r="M47" s="26" t="n"/>
      <c r="N47" s="26" t="n"/>
      <c r="O47" s="26" t="n"/>
      <c r="P47" s="26" t="n"/>
    </row>
    <row r="48" ht="13" customHeight="1">
      <c r="A48" s="1" t="n"/>
      <c r="B48" s="27" t="n">
        <v>2015</v>
      </c>
      <c r="C48" s="28" t="n"/>
      <c r="D48" s="28" t="n">
        <v>3</v>
      </c>
      <c r="E48" s="28" t="n">
        <v>1</v>
      </c>
      <c r="F48" s="28" t="n"/>
      <c r="G48" s="28" t="n"/>
      <c r="H48" s="28" t="n"/>
      <c r="I48" s="1" t="n"/>
      <c r="J48" s="27" t="n">
        <v>2015</v>
      </c>
      <c r="K48" s="28" t="n"/>
      <c r="L48" s="28" t="n"/>
      <c r="M48" s="28" t="n"/>
      <c r="N48" s="28" t="n"/>
      <c r="O48" s="28" t="n"/>
      <c r="P48" s="28" t="n"/>
    </row>
    <row r="49" ht="13" customHeight="1">
      <c r="A49" s="1" t="n"/>
      <c r="B49" s="27" t="n">
        <v>2014</v>
      </c>
      <c r="C49" s="28" t="n">
        <v>2</v>
      </c>
      <c r="D49" s="28" t="n">
        <v>1</v>
      </c>
      <c r="E49" s="28" t="n"/>
      <c r="F49" s="28" t="n"/>
      <c r="G49" s="28" t="n"/>
      <c r="H49" s="28" t="n"/>
      <c r="I49" s="1" t="n"/>
      <c r="J49" s="27" t="n">
        <v>2014</v>
      </c>
      <c r="K49" s="28" t="n"/>
      <c r="L49" s="28" t="n">
        <v>1</v>
      </c>
      <c r="M49" s="28" t="n"/>
      <c r="N49" s="28" t="n"/>
      <c r="O49" s="28" t="n"/>
      <c r="P49" s="28" t="n"/>
    </row>
    <row r="50" ht="13" customHeight="1">
      <c r="A50" s="1" t="n"/>
      <c r="B50" s="27" t="n">
        <v>2013</v>
      </c>
      <c r="C50" s="28" t="n">
        <v>1</v>
      </c>
      <c r="D50" s="28" t="n"/>
      <c r="E50" s="28" t="n">
        <v>4</v>
      </c>
      <c r="F50" s="28" t="n">
        <v>1</v>
      </c>
      <c r="G50" s="28" t="n">
        <v>2</v>
      </c>
      <c r="H50" s="28" t="n"/>
      <c r="I50" s="1" t="n"/>
      <c r="J50" s="27" t="n">
        <v>2013</v>
      </c>
      <c r="K50" s="28" t="n"/>
      <c r="L50" s="28" t="n"/>
      <c r="M50" s="28" t="n">
        <v>2</v>
      </c>
      <c r="N50" s="28" t="n">
        <v>1</v>
      </c>
      <c r="O50" s="28" t="n"/>
      <c r="P50" s="28" t="n"/>
    </row>
    <row r="51" ht="13" customHeight="1">
      <c r="A51" s="1" t="n"/>
      <c r="B51" s="27" t="n">
        <v>2012</v>
      </c>
      <c r="C51" s="28" t="n">
        <v>1</v>
      </c>
      <c r="D51" s="28" t="n">
        <v>2</v>
      </c>
      <c r="E51" s="28" t="n"/>
      <c r="F51" s="28" t="n"/>
      <c r="G51" s="28" t="n"/>
      <c r="H51" s="28" t="n"/>
      <c r="I51" s="1" t="n"/>
      <c r="J51" s="27" t="n">
        <v>2012</v>
      </c>
      <c r="K51" s="28" t="n"/>
      <c r="L51" s="28" t="n">
        <v>1</v>
      </c>
      <c r="M51" s="28" t="n">
        <v>1</v>
      </c>
      <c r="N51" s="28" t="n"/>
      <c r="O51" s="28" t="n"/>
      <c r="P51" s="28" t="n"/>
    </row>
    <row r="52" ht="13" customHeight="1">
      <c r="A52" s="1" t="n"/>
      <c r="B52" s="27" t="n">
        <v>2011</v>
      </c>
      <c r="C52" s="28" t="n"/>
      <c r="D52" s="28" t="n"/>
      <c r="E52" s="28" t="n"/>
      <c r="F52" s="28" t="n">
        <v>3</v>
      </c>
      <c r="G52" s="28" t="n"/>
      <c r="H52" s="28" t="n"/>
      <c r="I52" s="1" t="n"/>
      <c r="J52" s="27" t="n">
        <v>2011</v>
      </c>
      <c r="K52" s="28" t="n"/>
      <c r="L52" s="28" t="n"/>
      <c r="M52" s="28" t="n"/>
      <c r="N52" s="28" t="n">
        <v>2</v>
      </c>
      <c r="O52" s="28" t="n"/>
      <c r="P52" s="28" t="n"/>
    </row>
    <row r="53" ht="13" customHeight="1">
      <c r="A53" s="1" t="n"/>
      <c r="B53" s="29" t="n">
        <v>2010</v>
      </c>
      <c r="C53" s="30" t="n"/>
      <c r="D53" s="30" t="n">
        <v>1</v>
      </c>
      <c r="E53" s="30" t="n"/>
      <c r="F53" s="30" t="n"/>
      <c r="G53" s="30" t="n"/>
      <c r="H53" s="30" t="n"/>
      <c r="I53" s="1" t="n"/>
      <c r="J53" s="29" t="n">
        <v>2010</v>
      </c>
      <c r="K53" s="30" t="n"/>
      <c r="L53" s="30" t="n">
        <v>1</v>
      </c>
      <c r="M53" s="30" t="n"/>
      <c r="N53" s="30" t="n"/>
      <c r="O53" s="30" t="n"/>
      <c r="P53" s="30" t="n"/>
    </row>
    <row r="54" ht="13" customHeight="1">
      <c r="A54" s="1" t="n"/>
      <c r="B54" s="13" t="inlineStr">
        <is>
          <t>GTTL</t>
        </is>
      </c>
      <c r="C54" s="13" t="n">
        <v>20</v>
      </c>
      <c r="D54" s="13" t="n">
        <v>42</v>
      </c>
      <c r="E54" s="13" t="n">
        <v>8</v>
      </c>
      <c r="F54" s="13" t="n">
        <v>4</v>
      </c>
      <c r="G54" s="13" t="n">
        <v>2</v>
      </c>
      <c r="H54" s="13" t="n"/>
      <c r="I54" s="1" t="n"/>
      <c r="J54" s="13" t="inlineStr">
        <is>
          <t>GTTL</t>
        </is>
      </c>
      <c r="K54" s="13" t="n">
        <v>3</v>
      </c>
      <c r="L54" s="13" t="n">
        <v>37</v>
      </c>
      <c r="M54" s="13" t="n">
        <v>3</v>
      </c>
      <c r="N54" s="13" t="n">
        <v>3</v>
      </c>
      <c r="O54" s="13" t="n"/>
      <c r="P54" s="13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1" t="inlineStr">
        <is>
          <t>CARGO CLASSIFICATION  (40'RH stock by Built Year, per depot)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3" customHeight="1">
      <c r="A58" s="1" t="n"/>
      <c r="B58" s="32" t="inlineStr">
        <is>
          <t>BKK27 DURIAN  (2021-2026)</t>
        </is>
      </c>
      <c r="C58" s="33" t="n"/>
      <c r="D58" s="33" t="n"/>
      <c r="E58" s="1" t="n"/>
      <c r="F58" s="32" t="inlineStr">
        <is>
          <t>BKK27 NON DURIAN  (≤ 2020)</t>
        </is>
      </c>
      <c r="G58" s="33" t="n"/>
      <c r="H58" s="33" t="n"/>
      <c r="I58" s="1" t="n"/>
      <c r="J58" s="32" t="inlineStr">
        <is>
          <t>LCH27 DURIAN  (2021-2026)</t>
        </is>
      </c>
      <c r="K58" s="33" t="n"/>
      <c r="L58" s="33" t="n"/>
      <c r="M58" s="1" t="n"/>
      <c r="N58" s="32" t="inlineStr">
        <is>
          <t>LCH27 NON DURIAN  (≤ 2020)</t>
        </is>
      </c>
      <c r="O58" s="33" t="n"/>
      <c r="P58" s="33" t="n"/>
    </row>
    <row r="59" ht="13" customHeight="1">
      <c r="A59" s="1" t="n"/>
      <c r="B59" s="34">
        <f>SUM(D37:D42)+SUM(F37:F42)+SUM(H37:H42)</f>
        <v/>
      </c>
      <c r="C59" s="33" t="n"/>
      <c r="D59" s="33" t="n"/>
      <c r="E59" s="1" t="n"/>
      <c r="F59" s="34">
        <f>SUM(D43:D53)+SUM(F43:F53)+SUM(H43:H53)</f>
        <v/>
      </c>
      <c r="G59" s="33" t="n"/>
      <c r="H59" s="33" t="n"/>
      <c r="I59" s="1" t="n"/>
      <c r="J59" s="35">
        <f>SUM(L37:L42)+SUM(N37:N42)+SUM(P37:P42)</f>
        <v/>
      </c>
      <c r="K59" s="33" t="n"/>
      <c r="L59" s="33" t="n"/>
      <c r="M59" s="1" t="n"/>
      <c r="N59" s="35">
        <f>SUM(L43:L53)+SUM(N43:N53)+SUM(P43:P53)</f>
        <v/>
      </c>
      <c r="O59" s="33" t="n"/>
      <c r="P59" s="33" t="n"/>
    </row>
    <row r="60" ht="13" customHeight="1">
      <c r="A60" s="1" t="n"/>
      <c r="B60" s="36" t="inlineStr">
        <is>
          <t>40'RH stock</t>
        </is>
      </c>
      <c r="C60" s="33" t="n"/>
      <c r="D60" s="33" t="n"/>
      <c r="E60" s="1" t="n"/>
      <c r="F60" s="36" t="inlineStr">
        <is>
          <t>40'RH stock</t>
        </is>
      </c>
      <c r="G60" s="33" t="n"/>
      <c r="H60" s="33" t="n"/>
      <c r="I60" s="1" t="n"/>
      <c r="J60" s="36" t="inlineStr">
        <is>
          <t>40'RH stock</t>
        </is>
      </c>
      <c r="K60" s="33" t="n"/>
      <c r="L60" s="33" t="n"/>
      <c r="M60" s="1" t="n"/>
      <c r="N60" s="36" t="inlineStr">
        <is>
          <t>40'RH stock</t>
        </is>
      </c>
      <c r="O60" s="33" t="n"/>
      <c r="P60" s="33" t="n"/>
    </row>
  </sheetData>
  <mergeCells count="17">
    <mergeCell ref="G35:H35"/>
    <mergeCell ref="E35:F35"/>
    <mergeCell ref="K35:L35"/>
    <mergeCell ref="M35:N35"/>
    <mergeCell ref="J35:J36"/>
    <mergeCell ref="B22:B23"/>
    <mergeCell ref="B21:E21"/>
    <mergeCell ref="H22:H23"/>
    <mergeCell ref="B34:H34"/>
    <mergeCell ref="J34:P34"/>
    <mergeCell ref="B35:B36"/>
    <mergeCell ref="H21:K21"/>
    <mergeCell ref="H2:J2"/>
    <mergeCell ref="O35:P35"/>
    <mergeCell ref="A1:K1"/>
    <mergeCell ref="B2:D2"/>
    <mergeCell ref="C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RH'!D13,'TOTAL RH'!J13)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RH'!B13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RH'!B13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1">
        <f>'TOTAL RH'!B7</f>
        <v/>
      </c>
      <c r="C14" s="52">
        <f>'TOTAL RH'!C7</f>
        <v/>
      </c>
      <c r="D14" s="52">
        <f>'TOTAL RH'!D7</f>
        <v/>
      </c>
      <c r="E14" s="1" t="n"/>
      <c r="F14" s="1" t="n"/>
      <c r="G14" s="1" t="n"/>
      <c r="H14" s="51">
        <f>'TOTAL RH'!H7</f>
        <v/>
      </c>
      <c r="I14" s="52">
        <f>'TOTAL RH'!I7</f>
        <v/>
      </c>
      <c r="J14" s="52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49">
        <f>'TOTAL RH'!B8</f>
        <v/>
      </c>
      <c r="C15" s="50">
        <f>'TOTAL RH'!C8</f>
        <v/>
      </c>
      <c r="D15" s="50">
        <f>'TOTAL RH'!D8</f>
        <v/>
      </c>
      <c r="E15" s="1" t="n"/>
      <c r="F15" s="1" t="n"/>
      <c r="G15" s="1" t="n"/>
      <c r="H15" s="49">
        <f>'TOTAL RH'!H8</f>
        <v/>
      </c>
      <c r="I15" s="50">
        <f>'TOTAL RH'!I8</f>
        <v/>
      </c>
      <c r="J15" s="50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51">
        <f>'TOTAL RH'!B9</f>
        <v/>
      </c>
      <c r="C16" s="52">
        <f>'TOTAL RH'!C9</f>
        <v/>
      </c>
      <c r="D16" s="52">
        <f>'TOTAL RH'!D9</f>
        <v/>
      </c>
      <c r="E16" s="1" t="n"/>
      <c r="F16" s="1" t="n"/>
      <c r="G16" s="1" t="n"/>
      <c r="H16" s="51">
        <f>'TOTAL RH'!H9</f>
        <v/>
      </c>
      <c r="I16" s="52">
        <f>'TOTAL RH'!I9</f>
        <v/>
      </c>
      <c r="J16" s="52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RH'!B10</f>
        <v/>
      </c>
      <c r="C17" s="50">
        <f>'TOTAL RH'!C10</f>
        <v/>
      </c>
      <c r="D17" s="50">
        <f>'TOTAL RH'!D10</f>
        <v/>
      </c>
      <c r="E17" s="1" t="n"/>
      <c r="F17" s="1" t="n"/>
      <c r="G17" s="1" t="n"/>
      <c r="H17" s="49">
        <f>'TOTAL RH'!H10</f>
        <v/>
      </c>
      <c r="I17" s="50">
        <f>'TOTAL RH'!I10</f>
        <v/>
      </c>
      <c r="J17" s="50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RH'!B11</f>
        <v/>
      </c>
      <c r="C18" s="52">
        <f>'TOTAL RH'!C11</f>
        <v/>
      </c>
      <c r="D18" s="63">
        <f>'TOTAL RH'!D11</f>
        <v/>
      </c>
      <c r="E18" s="1" t="n"/>
      <c r="F18" s="1" t="n"/>
      <c r="G18" s="1" t="n"/>
      <c r="H18" s="51">
        <f>'TOTAL RH'!H11</f>
        <v/>
      </c>
      <c r="I18" s="52">
        <f>'TOTAL RH'!I11</f>
        <v/>
      </c>
      <c r="J18" s="63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49">
        <f>'TOTAL RH'!B12</f>
        <v/>
      </c>
      <c r="C19" s="50">
        <f>'TOTAL RH'!C12</f>
        <v/>
      </c>
      <c r="D19" s="50">
        <f>'TOTAL RH'!D12</f>
        <v/>
      </c>
      <c r="E19" s="1" t="n"/>
      <c r="F19" s="1" t="n"/>
      <c r="G19" s="1" t="n"/>
      <c r="H19" s="49">
        <f>'TOTAL RH'!H12</f>
        <v/>
      </c>
      <c r="I19" s="50">
        <f>'TOTAL RH'!I12</f>
        <v/>
      </c>
      <c r="J19" s="50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1">
        <f>'TOTAL RH'!B13</f>
        <v/>
      </c>
      <c r="C20" s="52">
        <f>'TOTAL RH'!C13</f>
        <v/>
      </c>
      <c r="D20" s="63">
        <f>'TOTAL RH'!D13</f>
        <v/>
      </c>
      <c r="E20" s="1" t="n"/>
      <c r="F20" s="1" t="n"/>
      <c r="G20" s="1" t="n"/>
      <c r="H20" s="51">
        <f>'TOTAL RH'!H13</f>
        <v/>
      </c>
      <c r="I20" s="52">
        <f>'TOTAL RH'!I13</f>
        <v/>
      </c>
      <c r="J20" s="63">
        <f>'TOTAL RH'!J13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3" t="inlineStr">
        <is>
          <t>REMARKS  (AV = move code IED/IEP/IER, DMG = move code OER)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>
        <f>'TOTAL RH'!B2</f>
        <v/>
      </c>
      <c r="C24" s="61" t="n"/>
      <c r="D24" s="62" t="n"/>
      <c r="E24" s="1" t="n"/>
      <c r="F24" s="1" t="n"/>
      <c r="G24" s="1" t="n"/>
      <c r="H24" s="45">
        <f>'TOTAL RH'!H2</f>
        <v/>
      </c>
      <c r="I24" s="61" t="n"/>
      <c r="J24" s="62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n"/>
      <c r="C25" s="46" t="inlineStr">
        <is>
          <t>20'RE</t>
        </is>
      </c>
      <c r="D25" s="46" t="inlineStr">
        <is>
          <t>40'RH</t>
        </is>
      </c>
      <c r="E25" s="1" t="n"/>
      <c r="F25" s="1" t="n"/>
      <c r="G25" s="1" t="n"/>
      <c r="H25" s="33" t="n"/>
      <c r="I25" s="46" t="inlineStr">
        <is>
          <t>20'RE</t>
        </is>
      </c>
      <c r="J25" s="46" t="inlineStr">
        <is>
          <t>40'RH</t>
        </is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AV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AV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33" t="inlineStr">
        <is>
          <t>DMG</t>
        </is>
      </c>
      <c r="C27" s="50">
        <f>'TOTAL RH'!C18</f>
        <v/>
      </c>
      <c r="D27" s="50">
        <f>'TOTAL RH'!D18</f>
        <v/>
      </c>
      <c r="E27" s="1" t="n"/>
      <c r="F27" s="1" t="n"/>
      <c r="G27" s="1" t="n"/>
      <c r="H27" s="33" t="inlineStr">
        <is>
          <t>DMG</t>
        </is>
      </c>
      <c r="I27" s="50">
        <f>'TOTAL RH'!I18</f>
        <v/>
      </c>
      <c r="J27" s="50">
        <f>'TOTAL RH'!J18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43" t="inlineStr">
        <is>
          <t>RF SEASONAL — build year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39" t="inlineStr">
        <is>
          <t>BKK27 2020-26 BUILT</t>
        </is>
      </c>
      <c r="C31" s="33" t="n"/>
      <c r="D31" s="33" t="n"/>
      <c r="E31" s="1" t="n"/>
      <c r="F31" s="39" t="inlineStr">
        <is>
          <t>LCH27 2020-26 BUILT</t>
        </is>
      </c>
      <c r="G31" s="33" t="n"/>
      <c r="H31" s="33" t="n"/>
      <c r="I31" s="1" t="n"/>
      <c r="J31" s="39" t="inlineStr">
        <is>
          <t>PEAK BUILD YEAR</t>
        </is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53">
        <f>SUM('TOTAL RH'!D37:D43)+SUM('TOTAL RH'!F37:F43)+SUM('TOTAL RH'!H37:H43)</f>
        <v/>
      </c>
      <c r="C32" s="33" t="n"/>
      <c r="D32" s="33" t="n"/>
      <c r="E32" s="1" t="n"/>
      <c r="F32" s="54">
        <f>SUM('TOTAL RH'!L37:L43)+SUM('TOTAL RH'!N37:N43)+SUM('TOTAL RH'!P37:P43)</f>
        <v/>
      </c>
      <c r="G32" s="33" t="n"/>
      <c r="H32" s="33" t="n"/>
      <c r="I32" s="1" t="n"/>
      <c r="J32" s="41">
        <f>"2025 / 2021"</f>
        <v/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42" t="inlineStr">
        <is>
          <t>of 40'RH on hand</t>
        </is>
      </c>
      <c r="C33" s="33" t="n"/>
      <c r="D33" s="33" t="n"/>
      <c r="E33" s="1" t="n"/>
      <c r="F33" s="42" t="inlineStr">
        <is>
          <t>of 40'RH on hand</t>
        </is>
      </c>
      <c r="G33" s="33" t="n"/>
      <c r="H33" s="33" t="n"/>
      <c r="I33" s="1" t="n"/>
      <c r="J33" s="42" t="inlineStr">
        <is>
          <t>17 units across both depots</t>
        </is>
      </c>
      <c r="K33" s="33" t="n"/>
      <c r="L33" s="33" t="n"/>
      <c r="M33" s="1" t="n"/>
      <c r="N33" s="1" t="n"/>
      <c r="O33" s="1" t="n"/>
      <c r="P33" s="1" t="n"/>
    </row>
    <row r="34" ht="13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39" t="inlineStr">
        <is>
          <t>BKK27 DURIAN  (2021-2026)</t>
        </is>
      </c>
      <c r="C35" s="33" t="n"/>
      <c r="D35" s="33" t="n"/>
      <c r="E35" s="1" t="n"/>
      <c r="F35" s="39" t="inlineStr">
        <is>
          <t>BKK27 NON DURIAN  (≤ 2020)</t>
        </is>
      </c>
      <c r="G35" s="33" t="n"/>
      <c r="H35" s="33" t="n"/>
      <c r="I35" s="1" t="n"/>
      <c r="J35" s="39" t="inlineStr">
        <is>
          <t>LCH27 DURIAN  (2021-2026)</t>
        </is>
      </c>
      <c r="K35" s="33" t="n"/>
      <c r="L35" s="33" t="n"/>
      <c r="M35" s="1" t="n"/>
      <c r="N35" s="39" t="inlineStr">
        <is>
          <t>LCH27 NON DURIAN  (≤ 2020)</t>
        </is>
      </c>
      <c r="O35" s="33" t="n"/>
      <c r="P35" s="33" t="n"/>
    </row>
    <row r="36" ht="13" customHeight="1">
      <c r="A36" s="1" t="n"/>
      <c r="B36" s="53">
        <f>'TOTAL RH'!B59</f>
        <v/>
      </c>
      <c r="C36" s="33" t="n"/>
      <c r="D36" s="33" t="n"/>
      <c r="E36" s="1" t="n"/>
      <c r="F36" s="53">
        <f>'TOTAL RH'!F59</f>
        <v/>
      </c>
      <c r="G36" s="33" t="n"/>
      <c r="H36" s="33" t="n"/>
      <c r="I36" s="1" t="n"/>
      <c r="J36" s="54">
        <f>'TOTAL RH'!J59</f>
        <v/>
      </c>
      <c r="K36" s="33" t="n"/>
      <c r="L36" s="33" t="n"/>
      <c r="M36" s="1" t="n"/>
      <c r="N36" s="54">
        <f>'TOTAL RH'!N59</f>
        <v/>
      </c>
      <c r="O36" s="33" t="n"/>
      <c r="P36" s="33" t="n"/>
    </row>
    <row r="37" ht="13" customHeight="1">
      <c r="A37" s="1" t="n"/>
      <c r="B37" s="42" t="inlineStr">
        <is>
          <t>40'RH stock</t>
        </is>
      </c>
      <c r="C37" s="33" t="n"/>
      <c r="D37" s="33" t="n"/>
      <c r="E37" s="1" t="n"/>
      <c r="F37" s="42" t="inlineStr">
        <is>
          <t>40'RH stock</t>
        </is>
      </c>
      <c r="G37" s="33" t="n"/>
      <c r="H37" s="33" t="n"/>
      <c r="I37" s="1" t="n"/>
      <c r="J37" s="42" t="inlineStr">
        <is>
          <t>40'RH stock</t>
        </is>
      </c>
      <c r="K37" s="33" t="n"/>
      <c r="L37" s="33" t="n"/>
      <c r="M37" s="1" t="n"/>
      <c r="N37" s="42" t="inlineStr">
        <is>
          <t>40'RH stock</t>
        </is>
      </c>
      <c r="O37" s="33" t="n"/>
      <c r="P37" s="33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44" t="inlineStr">
        <is>
          <t>BKK27 current mix</t>
        </is>
      </c>
      <c r="C39" s="61" t="n"/>
      <c r="D39" s="62" t="n"/>
      <c r="E39" s="1" t="n"/>
      <c r="F39" s="1" t="n"/>
      <c r="G39" s="1" t="n"/>
      <c r="H39" s="45" t="inlineStr">
        <is>
          <t>LCH27 current mix</t>
        </is>
      </c>
      <c r="I39" s="61" t="n"/>
      <c r="J39" s="62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n"/>
      <c r="C40" s="46" t="inlineStr">
        <is>
          <t>22RE</t>
        </is>
      </c>
      <c r="D40" s="46" t="inlineStr">
        <is>
          <t>45RE</t>
        </is>
      </c>
      <c r="E40" s="1" t="n"/>
      <c r="F40" s="1" t="n"/>
      <c r="G40" s="1" t="n"/>
      <c r="H40" s="33" t="n"/>
      <c r="I40" s="46" t="inlineStr">
        <is>
          <t>22RE</t>
        </is>
      </c>
      <c r="J40" s="46" t="inlineStr">
        <is>
          <t>45RE</t>
        </is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CARRIER</t>
        </is>
      </c>
      <c r="C41" s="50">
        <f>'TOTAL RH'!C54</f>
        <v/>
      </c>
      <c r="D41" s="50">
        <f>'TOTAL RH'!D54</f>
        <v/>
      </c>
      <c r="E41" s="1" t="n"/>
      <c r="F41" s="1" t="n"/>
      <c r="G41" s="1" t="n"/>
      <c r="H41" s="33" t="inlineStr">
        <is>
          <t>CARRIER</t>
        </is>
      </c>
      <c r="I41" s="50">
        <f>'TOTAL RH'!K54</f>
        <v/>
      </c>
      <c r="J41" s="50">
        <f>'TOTAL RH'!L54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DAIKIN</t>
        </is>
      </c>
      <c r="C42" s="50">
        <f>'TOTAL RH'!E54</f>
        <v/>
      </c>
      <c r="D42" s="50">
        <f>'TOTAL RH'!F54</f>
        <v/>
      </c>
      <c r="E42" s="1" t="n"/>
      <c r="F42" s="1" t="n"/>
      <c r="G42" s="1" t="n"/>
      <c r="H42" s="33" t="inlineStr">
        <is>
          <t>DAIKIN</t>
        </is>
      </c>
      <c r="I42" s="50">
        <f>'TOTAL RH'!M54</f>
        <v/>
      </c>
      <c r="J42" s="50">
        <f>'TOTAL RH'!N54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33" t="inlineStr">
        <is>
          <t>THERMO KING</t>
        </is>
      </c>
      <c r="C43" s="50">
        <f>'TOTAL RH'!G54</f>
        <v/>
      </c>
      <c r="D43" s="50">
        <f>'TOTAL RH'!H54</f>
        <v/>
      </c>
      <c r="E43" s="1" t="n"/>
      <c r="F43" s="1" t="n"/>
      <c r="G43" s="1" t="n"/>
      <c r="H43" s="33" t="inlineStr">
        <is>
          <t>THERMO KING</t>
        </is>
      </c>
      <c r="I43" s="50">
        <f>'TOTAL RH'!O54</f>
        <v/>
      </c>
      <c r="J43" s="50">
        <f>'TOTAL RH'!P54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55" t="inlineStr">
        <is>
          <t>Full 2010-2026 Year x Brand x Size breakdown is on the TOTAL RH sheet.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</sheetData>
  <mergeCells count="7">
    <mergeCell ref="H24:J24"/>
    <mergeCell ref="B1:P2"/>
    <mergeCell ref="B9:D9"/>
    <mergeCell ref="H9:J9"/>
    <mergeCell ref="B39:D39"/>
    <mergeCell ref="H39:J39"/>
    <mergeCell ref="B24:D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2026-09-25T01:11:21Z</dcterms:created>
  <dcterms:modified xmlns:dcterms="http://purl.org/dc/terms/" xmlns:xsi="http://www.w3.org/2001/XMLSchema-instance" xsi:type="dcterms:W3CDTF">2026-09-25T01:11:36Z</dcterms:modified>
</cp:coreProperties>
</file>