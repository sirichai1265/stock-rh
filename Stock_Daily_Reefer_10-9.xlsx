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BookingRaw" sheetId="2" state="visible" r:id="rId2"/>
    <sheet xmlns:r="http://schemas.openxmlformats.org/officeDocument/2006/relationships" name="StockRaw" sheetId="3" state="visible" r:id="rId3"/>
    <sheet xmlns:r="http://schemas.openxmlformats.org/officeDocument/2006/relationships" name="TOTAL RH" sheetId="4" state="visible" r:id="rId4"/>
    <sheet xmlns:r="http://schemas.openxmlformats.org/officeDocument/2006/relationships" name="YEAR BUILT" sheetId="5" state="visible" r:id="rId5"/>
    <sheet xmlns:r="http://schemas.openxmlformats.org/officeDocument/2006/relationships" name="Dashboard" sheetId="6" state="visible" r:id="rId6"/>
  </sheets>
  <definedNames>
    <definedName name="_xlnm.Print_Area" localSheetId="3">'TOTAL RH'!$A$1:$Q$35</definedName>
    <definedName name="_xlnm.Print_Area" localSheetId="4">'YEAR BUILT'!$A$1:$Q$28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3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b val="1"/>
      <color rgb="00808080"/>
      <sz val="9"/>
    </font>
    <font>
      <b val="1"/>
      <color rgb="002A78D6"/>
      <sz val="20"/>
    </font>
    <font>
      <color rgb="00808080"/>
      <sz val="9"/>
    </font>
    <font>
      <b val="1"/>
      <color rgb="00EB6834"/>
      <sz val="20"/>
    </font>
    <font>
      <b val="1"/>
      <sz val="9"/>
    </font>
    <font/>
    <font>
      <b val="1"/>
      <color rgb="00FFFFFF"/>
      <sz val="16"/>
    </font>
    <font>
      <b val="1"/>
      <color rgb="00C62828"/>
      <sz val="20"/>
    </font>
    <font>
      <b val="1"/>
      <color rgb="001A1A1A"/>
      <sz val="20"/>
    </font>
    <font>
      <b val="1"/>
      <color rgb="000D3B12"/>
      <sz val="11"/>
    </font>
    <font>
      <b val="1"/>
      <color rgb="002A78D6"/>
      <sz val="12"/>
    </font>
    <font>
      <b val="1"/>
      <color rgb="00EB6834"/>
      <sz val="12"/>
    </font>
    <font>
      <b val="1"/>
      <color rgb="002A78D6"/>
      <sz val="11"/>
    </font>
    <font>
      <b val="1"/>
      <color rgb="00EB6834"/>
      <sz val="11"/>
    </font>
    <font>
      <b val="1"/>
      <color rgb="002A78D6"/>
      <sz val="10"/>
    </font>
    <font>
      <b val="1"/>
      <color rgb="00EB6834"/>
      <sz val="10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i val="1"/>
      <sz val="11"/>
    </font>
    <font>
      <name val="Calibri"/>
      <b val="1"/>
      <color rgb="002A78D6"/>
      <sz val="11"/>
    </font>
    <font>
      <name val="Calibri"/>
      <b val="1"/>
      <color rgb="00EB6834"/>
      <sz val="11"/>
    </font>
    <font>
      <name val="Calibri"/>
      <color rgb="00808080"/>
      <sz val="11"/>
    </font>
    <font>
      <name val="Calibri"/>
      <sz val="11"/>
    </font>
    <font>
      <name val="Calibri"/>
      <b val="1"/>
      <color rgb="00808080"/>
      <sz val="11"/>
    </font>
    <font>
      <name val="Calibri"/>
      <b val="1"/>
      <color rgb="00C62828"/>
      <sz val="11"/>
    </font>
    <font>
      <name val="Calibri"/>
      <b val="1"/>
      <color rgb="001A1A1A"/>
      <sz val="11"/>
    </font>
    <font>
      <name val="Calibri"/>
      <b val="1"/>
      <color rgb="000D3B12"/>
      <sz val="11"/>
    </font>
    <font>
      <b val="1"/>
      <color rgb="00C62828"/>
    </font>
  </fonts>
  <fills count="12">
    <fill>
      <patternFill/>
    </fill>
    <fill>
      <patternFill patternType="gray125"/>
    </fill>
    <fill>
      <patternFill patternType="solid">
        <fgColor rgb="000D3B12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FFF59D"/>
      </patternFill>
    </fill>
    <fill>
      <patternFill patternType="solid">
        <fgColor rgb="00F4B183"/>
      </patternFill>
    </fill>
    <fill>
      <patternFill patternType="solid">
        <fgColor rgb="0066BB6A"/>
      </patternFill>
    </fill>
    <fill>
      <patternFill patternType="solid">
        <fgColor rgb="00A9D18E"/>
      </patternFill>
    </fill>
    <fill>
      <patternFill patternType="solid">
        <fgColor rgb="00FFE699"/>
      </patternFill>
    </fill>
    <fill>
      <patternFill patternType="solid">
        <fgColor rgb="00C4A484"/>
      </patternFill>
    </fill>
    <fill>
      <patternFill patternType="solid">
        <fgColor rgb="00F4A7A7"/>
      </patternFill>
    </fill>
  </fills>
  <borders count="1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20" fillId="0" borderId="0" pivotButton="0" quotePrefix="0" xfId="0"/>
    <xf numFmtId="164" fontId="20" fillId="0" borderId="0" pivotButton="0" quotePrefix="0" xfId="0"/>
    <xf numFmtId="0" fontId="21" fillId="2" borderId="2" applyAlignment="1" pivotButton="0" quotePrefix="0" xfId="0">
      <alignment horizontal="center"/>
    </xf>
    <xf numFmtId="0" fontId="20" fillId="0" borderId="3" pivotButton="0" quotePrefix="0" xfId="0"/>
    <xf numFmtId="0" fontId="21" fillId="3" borderId="2" applyAlignment="1" pivotButton="0" quotePrefix="0" xfId="0">
      <alignment horizontal="center"/>
    </xf>
    <xf numFmtId="0" fontId="22" fillId="4" borderId="2" pivotButton="0" quotePrefix="0" xfId="0"/>
    <xf numFmtId="0" fontId="22" fillId="0" borderId="2" applyAlignment="1" pivotButton="0" quotePrefix="0" xfId="0">
      <alignment horizontal="center"/>
    </xf>
    <xf numFmtId="0" fontId="21" fillId="3" borderId="2" applyAlignment="1" pivotButton="0" quotePrefix="0" xfId="0">
      <alignment horizontal="left"/>
    </xf>
    <xf numFmtId="0" fontId="20" fillId="0" borderId="2" pivotButton="0" quotePrefix="0" xfId="0"/>
    <xf numFmtId="0" fontId="20" fillId="0" borderId="2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0" fontId="22" fillId="4" borderId="2" applyAlignment="1" pivotButton="0" quotePrefix="0" xfId="0">
      <alignment horizontal="left"/>
    </xf>
    <xf numFmtId="0" fontId="22" fillId="4" borderId="2" applyAlignment="1" pivotButton="0" quotePrefix="0" xfId="0">
      <alignment horizontal="center"/>
    </xf>
    <xf numFmtId="0" fontId="20" fillId="0" borderId="2" applyAlignment="1" pivotButton="0" quotePrefix="0" xfId="0">
      <alignment horizontal="left"/>
    </xf>
    <xf numFmtId="0" fontId="22" fillId="0" borderId="2" pivotButton="0" quotePrefix="0" xfId="0"/>
    <xf numFmtId="0" fontId="22" fillId="5" borderId="2" applyAlignment="1" pivotButton="0" quotePrefix="0" xfId="0">
      <alignment horizontal="left"/>
    </xf>
    <xf numFmtId="0" fontId="22" fillId="5" borderId="2" applyAlignment="1" pivotButton="0" quotePrefix="0" xfId="0">
      <alignment horizontal="center"/>
    </xf>
    <xf numFmtId="0" fontId="22" fillId="6" borderId="2" applyAlignment="1" pivotButton="0" quotePrefix="0" xfId="0">
      <alignment horizontal="center"/>
    </xf>
    <xf numFmtId="0" fontId="21" fillId="3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right"/>
    </xf>
    <xf numFmtId="0" fontId="20" fillId="5" borderId="2" pivotButton="0" quotePrefix="0" xfId="0"/>
    <xf numFmtId="0" fontId="23" fillId="0" borderId="2" pivotButton="0" quotePrefix="0" xfId="0"/>
    <xf numFmtId="0" fontId="22" fillId="0" borderId="2" applyAlignment="1" pivotButton="0" quotePrefix="0" xfId="0">
      <alignment horizontal="left"/>
    </xf>
    <xf numFmtId="0" fontId="20" fillId="0" borderId="1" pivotButton="0" quotePrefix="0" xfId="0"/>
    <xf numFmtId="0" fontId="24" fillId="0" borderId="2" applyAlignment="1" pivotButton="0" quotePrefix="0" xfId="0">
      <alignment horizontal="left"/>
    </xf>
    <xf numFmtId="0" fontId="25" fillId="0" borderId="2" applyAlignment="1" pivotButton="0" quotePrefix="0" xfId="0">
      <alignment horizontal="left"/>
    </xf>
    <xf numFmtId="0" fontId="26" fillId="0" borderId="2" applyAlignment="1" pivotButton="0" quotePrefix="0" xfId="0">
      <alignment horizontal="left"/>
    </xf>
    <xf numFmtId="0" fontId="20" fillId="3" borderId="2" pivotButton="0" quotePrefix="0" xfId="0"/>
    <xf numFmtId="0" fontId="21" fillId="7" borderId="2" applyAlignment="1" pivotButton="0" quotePrefix="0" xfId="0">
      <alignment horizontal="center"/>
    </xf>
    <xf numFmtId="0" fontId="27" fillId="8" borderId="2" applyAlignment="1" pivotButton="0" quotePrefix="0" xfId="0">
      <alignment horizontal="center"/>
    </xf>
    <xf numFmtId="0" fontId="20" fillId="8" borderId="2" applyAlignment="1" pivotButton="0" quotePrefix="0" xfId="0">
      <alignment horizontal="center"/>
    </xf>
    <xf numFmtId="0" fontId="27" fillId="9" borderId="2" applyAlignment="1" pivotButton="0" quotePrefix="0" xfId="0">
      <alignment horizontal="center"/>
    </xf>
    <xf numFmtId="0" fontId="20" fillId="9" borderId="2" applyAlignment="1" pivotButton="0" quotePrefix="0" xfId="0">
      <alignment horizontal="center"/>
    </xf>
    <xf numFmtId="0" fontId="27" fillId="10" borderId="2" applyAlignment="1" pivotButton="0" quotePrefix="0" xfId="0">
      <alignment horizontal="center"/>
    </xf>
    <xf numFmtId="0" fontId="20" fillId="10" borderId="2" applyAlignment="1" pivotButton="0" quotePrefix="0" xfId="0">
      <alignment horizontal="center"/>
    </xf>
    <xf numFmtId="0" fontId="27" fillId="11" borderId="2" applyAlignment="1" pivotButton="0" quotePrefix="0" xfId="0">
      <alignment horizontal="center"/>
    </xf>
    <xf numFmtId="0" fontId="20" fillId="11" borderId="2" applyAlignment="1" pivotButton="0" quotePrefix="0" xfId="0">
      <alignment horizontal="center"/>
    </xf>
    <xf numFmtId="0" fontId="21" fillId="2" borderId="0" applyAlignment="1" pivotButton="0" quotePrefix="0" xfId="0">
      <alignment horizontal="left" vertical="center"/>
    </xf>
    <xf numFmtId="0" fontId="20" fillId="2" borderId="0" pivotButton="0" quotePrefix="0" xfId="0"/>
    <xf numFmtId="0" fontId="28" fillId="0" borderId="1" applyAlignment="1" pivotButton="0" quotePrefix="0" xfId="0">
      <alignment horizontal="left"/>
    </xf>
    <xf numFmtId="0" fontId="29" fillId="0" borderId="1" applyAlignment="1" pivotButton="0" quotePrefix="0" xfId="0">
      <alignment horizontal="left"/>
    </xf>
    <xf numFmtId="0" fontId="30" fillId="0" borderId="1" applyAlignment="1" pivotButton="0" quotePrefix="0" xfId="0">
      <alignment horizontal="left"/>
    </xf>
    <xf numFmtId="0" fontId="26" fillId="0" borderId="1" applyAlignment="1" pivotButton="0" quotePrefix="0" xfId="0">
      <alignment horizontal="left"/>
    </xf>
    <xf numFmtId="0" fontId="31" fillId="0" borderId="0" pivotButton="0" quotePrefix="0" xfId="0"/>
    <xf numFmtId="0" fontId="24" fillId="0" borderId="1" pivotButton="0" quotePrefix="0" xfId="0"/>
    <xf numFmtId="0" fontId="25" fillId="0" borderId="1" pivotButton="0" quotePrefix="0" xfId="0"/>
    <xf numFmtId="0" fontId="22" fillId="0" borderId="1" pivotButton="0" quotePrefix="0" xfId="0"/>
    <xf numFmtId="0" fontId="22" fillId="4" borderId="1" pivotButton="0" quotePrefix="0" xfId="0"/>
    <xf numFmtId="0" fontId="22" fillId="4" borderId="1" applyAlignment="1" pivotButton="0" quotePrefix="0" xfId="0">
      <alignment horizontal="center"/>
    </xf>
    <xf numFmtId="0" fontId="27" fillId="0" borderId="1" pivotButton="0" quotePrefix="0" xfId="0"/>
    <xf numFmtId="0" fontId="20" fillId="0" borderId="1" applyAlignment="1" pivotButton="0" quotePrefix="0" xfId="0">
      <alignment horizontal="center"/>
    </xf>
    <xf numFmtId="0" fontId="22" fillId="5" borderId="1" pivotButton="0" quotePrefix="0" xfId="0"/>
    <xf numFmtId="0" fontId="22" fillId="5" borderId="1" applyAlignment="1" pivotButton="0" quotePrefix="0" xfId="0">
      <alignment horizontal="center"/>
    </xf>
    <xf numFmtId="0" fontId="24" fillId="0" borderId="1" applyAlignment="1" pivotButton="0" quotePrefix="0" xfId="0">
      <alignment horizontal="left"/>
    </xf>
    <xf numFmtId="0" fontId="25" fillId="0" borderId="1" applyAlignment="1" pivotButton="0" quotePrefix="0" xfId="0">
      <alignment horizontal="left"/>
    </xf>
    <xf numFmtId="0" fontId="26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5" borderId="2" applyAlignment="1" pivotButton="0" quotePrefix="0" xfId="0">
      <alignment horizontal="center"/>
    </xf>
    <xf numFmtId="0" fontId="32" fillId="5" borderId="2" applyAlignment="1" pivotButton="0" quotePrefix="0" xfId="0">
      <alignment horizontal="center"/>
    </xf>
    <xf numFmtId="0" fontId="0" fillId="0" borderId="6" pivotButton="0" quotePrefix="0" xfId="0"/>
    <xf numFmtId="0" fontId="0" fillId="0" borderId="13" pivotButton="0" quotePrefix="0" xfId="0"/>
    <xf numFmtId="0" fontId="0" fillId="0" borderId="14" pivotButton="0" quotePrefix="0" xfId="0"/>
    <xf numFmtId="0" fontId="2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1619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Report date</t>
        </is>
      </c>
      <c r="B1" s="2" t="n">
        <v>46304</v>
      </c>
      <c r="C1" s="1" t="n"/>
    </row>
    <row r="2" ht="13" customHeight="1">
      <c r="A2" s="1" t="n"/>
      <c r="B2" s="1" t="n"/>
      <c r="C2" s="1" t="n"/>
    </row>
    <row r="3" ht="13" customHeight="1">
      <c r="A3" s="1" t="inlineStr">
        <is>
          <t>WK#</t>
        </is>
      </c>
      <c r="B3" s="1" t="inlineStr">
        <is>
          <t>Monday</t>
        </is>
      </c>
      <c r="C3" s="1" t="inlineStr">
        <is>
          <t>Saturday</t>
        </is>
      </c>
    </row>
    <row r="4" ht="13" customHeight="1">
      <c r="A4" s="1">
        <f>WEEKNUM(B4,21)</f>
        <v/>
      </c>
      <c r="B4" s="2">
        <f>$B$1-(WEEKDAY($B$1,2)-1)</f>
        <v/>
      </c>
      <c r="C4" s="2">
        <f>B4+5</f>
        <v/>
      </c>
    </row>
    <row r="5" ht="13" customHeight="1">
      <c r="A5" s="1">
        <f>WEEKNUM(B5,21)</f>
        <v/>
      </c>
      <c r="B5" s="2">
        <f>B4+7</f>
        <v/>
      </c>
      <c r="C5" s="2">
        <f>B5+5</f>
        <v/>
      </c>
    </row>
    <row r="6" ht="13" customHeight="1">
      <c r="A6" s="1">
        <f>WEEKNUM(B6,21)</f>
        <v/>
      </c>
      <c r="B6" s="2">
        <f>B5+7</f>
        <v/>
      </c>
      <c r="C6" s="2">
        <f>B6+5</f>
        <v/>
      </c>
    </row>
    <row r="7" ht="13" customHeight="1">
      <c r="A7" s="1">
        <f>WEEKNUM(B7,21)</f>
        <v/>
      </c>
      <c r="B7" s="2">
        <f>B6+7</f>
        <v/>
      </c>
      <c r="C7" s="2">
        <f>B7+5</f>
        <v/>
      </c>
    </row>
    <row r="8" ht="13" customHeight="1">
      <c r="A8" s="1" t="n"/>
      <c r="B8" s="1" t="n"/>
      <c r="C8" s="1" t="n"/>
    </row>
    <row r="9" ht="13" customHeight="1">
      <c r="A9" s="1" t="inlineStr">
        <is>
          <t>Tomorrow</t>
        </is>
      </c>
      <c r="B9" s="2">
        <f>B1+1</f>
        <v/>
      </c>
      <c r="C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8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Pickup Date</t>
        </is>
      </c>
      <c r="C1" s="1" t="inlineStr">
        <is>
          <t>20'RE</t>
        </is>
      </c>
      <c r="D1" s="1" t="inlineStr">
        <is>
          <t>40'RH</t>
        </is>
      </c>
    </row>
    <row r="2" ht="13" customHeight="1">
      <c r="A2" s="1" t="inlineStr">
        <is>
          <t>BKK27</t>
        </is>
      </c>
      <c r="B2" s="2" t="n">
        <v>46309</v>
      </c>
      <c r="C2" s="1" t="n">
        <v>1</v>
      </c>
      <c r="D2" s="1" t="n">
        <v>0</v>
      </c>
    </row>
    <row r="3" ht="13" customHeight="1">
      <c r="A3" s="1" t="inlineStr">
        <is>
          <t>BKK27</t>
        </is>
      </c>
      <c r="B3" s="2" t="n">
        <v>46311</v>
      </c>
      <c r="C3" s="1" t="n">
        <v>1</v>
      </c>
      <c r="D3" s="1" t="n">
        <v>0</v>
      </c>
    </row>
    <row r="4" ht="13" customHeight="1">
      <c r="A4" s="1" t="inlineStr">
        <is>
          <t>BKK27</t>
        </is>
      </c>
      <c r="B4" s="2" t="n">
        <v>46304</v>
      </c>
      <c r="C4" s="1" t="n">
        <v>1</v>
      </c>
      <c r="D4" s="1" t="n">
        <v>0</v>
      </c>
    </row>
    <row r="5" ht="13" customHeight="1">
      <c r="A5" s="1" t="inlineStr">
        <is>
          <t>BKK27</t>
        </is>
      </c>
      <c r="B5" s="2" t="n">
        <v>46319</v>
      </c>
      <c r="C5" s="1" t="n">
        <v>1</v>
      </c>
      <c r="D5" s="1" t="n">
        <v>0</v>
      </c>
    </row>
    <row r="6" ht="13" customHeight="1">
      <c r="A6" s="1" t="inlineStr">
        <is>
          <t>BKK27</t>
        </is>
      </c>
      <c r="B6" s="2" t="n">
        <v>46311</v>
      </c>
      <c r="C6" s="1" t="n">
        <v>1</v>
      </c>
      <c r="D6" s="1" t="n">
        <v>0</v>
      </c>
    </row>
    <row r="7" ht="13" customHeight="1">
      <c r="A7" s="1" t="inlineStr">
        <is>
          <t>BKK27</t>
        </is>
      </c>
      <c r="B7" s="2" t="n">
        <v>46317</v>
      </c>
      <c r="C7" s="1" t="n">
        <v>1</v>
      </c>
      <c r="D7" s="1" t="n">
        <v>0</v>
      </c>
    </row>
    <row r="8" ht="13" customHeight="1">
      <c r="A8" s="1" t="inlineStr">
        <is>
          <t>LCH27</t>
        </is>
      </c>
      <c r="B8" s="2" t="n">
        <v>46314</v>
      </c>
      <c r="C8" s="1" t="n">
        <v>1</v>
      </c>
      <c r="D8" s="1" t="n">
        <v>0</v>
      </c>
    </row>
    <row r="9" ht="13" customHeight="1">
      <c r="A9" s="1" t="inlineStr">
        <is>
          <t>LCH27</t>
        </is>
      </c>
      <c r="B9" s="2" t="n">
        <v>46312</v>
      </c>
      <c r="C9" s="1" t="n">
        <v>1</v>
      </c>
      <c r="D9" s="1" t="n">
        <v>0</v>
      </c>
    </row>
    <row r="10" ht="13" customHeight="1">
      <c r="A10" s="1" t="inlineStr">
        <is>
          <t>BKK27</t>
        </is>
      </c>
      <c r="B10" s="2" t="n">
        <v>46305</v>
      </c>
      <c r="C10" s="1" t="n">
        <v>1</v>
      </c>
      <c r="D10" s="1" t="n">
        <v>0</v>
      </c>
    </row>
    <row r="11" ht="13" customHeight="1">
      <c r="A11" s="1" t="inlineStr">
        <is>
          <t>BKK27</t>
        </is>
      </c>
      <c r="B11" s="2" t="n">
        <v>46317</v>
      </c>
      <c r="C11" s="1" t="n">
        <v>1</v>
      </c>
      <c r="D11" s="1" t="n">
        <v>0</v>
      </c>
    </row>
    <row r="12" ht="13" customHeight="1">
      <c r="A12" s="1" t="inlineStr">
        <is>
          <t>BKK27</t>
        </is>
      </c>
      <c r="B12" s="2" t="n">
        <v>46319</v>
      </c>
      <c r="C12" s="1" t="n">
        <v>0</v>
      </c>
      <c r="D12" s="1" t="n">
        <v>1</v>
      </c>
    </row>
    <row r="13" ht="13" customHeight="1">
      <c r="A13" s="1" t="inlineStr">
        <is>
          <t>BKK27</t>
        </is>
      </c>
      <c r="B13" s="2" t="n">
        <v>46315</v>
      </c>
      <c r="C13" s="1" t="n">
        <v>0</v>
      </c>
      <c r="D13" s="1" t="n">
        <v>1</v>
      </c>
    </row>
    <row r="14" ht="13" customHeight="1">
      <c r="A14" s="1" t="inlineStr">
        <is>
          <t>LCH27</t>
        </is>
      </c>
      <c r="B14" s="2" t="n">
        <v>46312</v>
      </c>
      <c r="C14" s="1" t="n">
        <v>0</v>
      </c>
      <c r="D14" s="1" t="n">
        <v>1</v>
      </c>
    </row>
    <row r="15" ht="13" customHeight="1">
      <c r="A15" s="1" t="inlineStr">
        <is>
          <t>BKK27</t>
        </is>
      </c>
      <c r="B15" s="2" t="n">
        <v>46319</v>
      </c>
      <c r="C15" s="1" t="n">
        <v>0</v>
      </c>
      <c r="D15" s="1" t="n">
        <v>1</v>
      </c>
    </row>
    <row r="16" ht="13" customHeight="1">
      <c r="A16" s="1" t="inlineStr">
        <is>
          <t>BKK27</t>
        </is>
      </c>
      <c r="B16" s="2" t="n">
        <v>46319</v>
      </c>
      <c r="C16" s="1" t="n">
        <v>0</v>
      </c>
      <c r="D16" s="1" t="n">
        <v>1</v>
      </c>
    </row>
    <row r="17" ht="13" customHeight="1">
      <c r="A17" s="1" t="inlineStr">
        <is>
          <t>LCH27</t>
        </is>
      </c>
      <c r="B17" s="2" t="n">
        <v>46312</v>
      </c>
      <c r="C17" s="1" t="n">
        <v>0</v>
      </c>
      <c r="D17" s="1" t="n">
        <v>1</v>
      </c>
    </row>
    <row r="18" ht="13" customHeight="1">
      <c r="A18" s="1" t="inlineStr">
        <is>
          <t>LCH27</t>
        </is>
      </c>
      <c r="B18" s="2" t="n">
        <v>46305</v>
      </c>
      <c r="C18" s="1" t="n">
        <v>0</v>
      </c>
      <c r="D18" s="1" t="n">
        <v>1</v>
      </c>
    </row>
    <row r="19" ht="13" customHeight="1">
      <c r="A19" s="1" t="inlineStr">
        <is>
          <t>LCH27</t>
        </is>
      </c>
      <c r="B19" s="2" t="n">
        <v>46310</v>
      </c>
      <c r="C19" s="1" t="n">
        <v>0</v>
      </c>
      <c r="D19" s="1" t="n">
        <v>1</v>
      </c>
    </row>
    <row r="20" ht="13" customHeight="1">
      <c r="A20" s="1" t="inlineStr">
        <is>
          <t>BKK27</t>
        </is>
      </c>
      <c r="B20" s="2" t="n">
        <v>46315</v>
      </c>
      <c r="C20" s="1" t="n">
        <v>0</v>
      </c>
      <c r="D20" s="1" t="n">
        <v>1</v>
      </c>
    </row>
    <row r="21" ht="13" customHeight="1">
      <c r="A21" s="1" t="inlineStr">
        <is>
          <t>LCH27</t>
        </is>
      </c>
      <c r="B21" s="2" t="n">
        <v>46312</v>
      </c>
      <c r="C21" s="1" t="n">
        <v>0</v>
      </c>
      <c r="D21" s="1" t="n">
        <v>1</v>
      </c>
    </row>
    <row r="22" ht="13" customHeight="1">
      <c r="A22" s="1" t="inlineStr">
        <is>
          <t>BKK27</t>
        </is>
      </c>
      <c r="B22" s="2" t="n">
        <v>46312</v>
      </c>
      <c r="C22" s="1" t="n">
        <v>0</v>
      </c>
      <c r="D22" s="1" t="n">
        <v>1</v>
      </c>
    </row>
    <row r="23" ht="13" customHeight="1">
      <c r="A23" s="1" t="inlineStr">
        <is>
          <t>LCH27</t>
        </is>
      </c>
      <c r="B23" s="2" t="n">
        <v>46307</v>
      </c>
      <c r="C23" s="1" t="n">
        <v>0</v>
      </c>
      <c r="D23" s="1" t="n">
        <v>1</v>
      </c>
    </row>
    <row r="24" ht="13" customHeight="1">
      <c r="A24" s="1" t="inlineStr">
        <is>
          <t>LCH27</t>
        </is>
      </c>
      <c r="B24" s="2" t="n">
        <v>46314</v>
      </c>
      <c r="C24" s="1" t="n">
        <v>0</v>
      </c>
      <c r="D24" s="1" t="n">
        <v>1</v>
      </c>
    </row>
    <row r="25" ht="13" customHeight="1">
      <c r="A25" s="1" t="inlineStr">
        <is>
          <t>BKK27</t>
        </is>
      </c>
      <c r="B25" s="2" t="n">
        <v>46314</v>
      </c>
      <c r="C25" s="1" t="n">
        <v>0</v>
      </c>
      <c r="D25" s="1" t="n">
        <v>1</v>
      </c>
    </row>
    <row r="26" ht="13" customHeight="1">
      <c r="A26" s="1" t="inlineStr">
        <is>
          <t>BKK27</t>
        </is>
      </c>
      <c r="B26" s="2" t="n">
        <v>46319</v>
      </c>
      <c r="C26" s="1" t="n">
        <v>0</v>
      </c>
      <c r="D26" s="1" t="n">
        <v>1</v>
      </c>
    </row>
    <row r="27" ht="13" customHeight="1">
      <c r="A27" s="1" t="inlineStr">
        <is>
          <t>LCH27</t>
        </is>
      </c>
      <c r="B27" s="2" t="n">
        <v>46314</v>
      </c>
      <c r="C27" s="1" t="n">
        <v>0</v>
      </c>
      <c r="D27" s="1" t="n">
        <v>1</v>
      </c>
    </row>
    <row r="28" ht="13" customHeight="1">
      <c r="A28" s="1" t="inlineStr">
        <is>
          <t>LCH27</t>
        </is>
      </c>
      <c r="B28" s="2" t="n">
        <v>46315</v>
      </c>
      <c r="C28" s="1" t="n">
        <v>0</v>
      </c>
      <c r="D28" s="1" t="n">
        <v>1</v>
      </c>
    </row>
    <row r="29" ht="13" customHeight="1">
      <c r="A29" s="1" t="inlineStr">
        <is>
          <t>LCH27</t>
        </is>
      </c>
      <c r="B29" s="2" t="n">
        <v>46318</v>
      </c>
      <c r="C29" s="1" t="n">
        <v>0</v>
      </c>
      <c r="D29" s="1" t="n">
        <v>1</v>
      </c>
    </row>
    <row r="30" ht="13" customHeight="1">
      <c r="A30" s="1" t="inlineStr">
        <is>
          <t>BKK27</t>
        </is>
      </c>
      <c r="B30" s="2" t="n">
        <v>46305</v>
      </c>
      <c r="C30" s="1" t="n">
        <v>0</v>
      </c>
      <c r="D30" s="1" t="n">
        <v>1</v>
      </c>
    </row>
    <row r="31" ht="13" customHeight="1">
      <c r="A31" s="1" t="inlineStr">
        <is>
          <t>BKK27</t>
        </is>
      </c>
      <c r="B31" s="2" t="n">
        <v>46314</v>
      </c>
      <c r="C31" s="1" t="n">
        <v>0</v>
      </c>
      <c r="D31" s="1" t="n">
        <v>1</v>
      </c>
    </row>
    <row r="32" ht="13" customHeight="1">
      <c r="A32" s="1" t="inlineStr">
        <is>
          <t>LCH27</t>
        </is>
      </c>
      <c r="B32" s="2" t="n">
        <v>46311</v>
      </c>
      <c r="C32" s="1" t="n">
        <v>0</v>
      </c>
      <c r="D32" s="1" t="n">
        <v>1</v>
      </c>
    </row>
    <row r="33" ht="13" customHeight="1">
      <c r="A33" s="1" t="inlineStr">
        <is>
          <t>LCH27</t>
        </is>
      </c>
      <c r="B33" s="2" t="n">
        <v>46307</v>
      </c>
      <c r="C33" s="1" t="n">
        <v>0</v>
      </c>
      <c r="D33" s="1" t="n">
        <v>1</v>
      </c>
    </row>
    <row r="34" ht="13" customHeight="1">
      <c r="A34" s="1" t="inlineStr">
        <is>
          <t>LCH27</t>
        </is>
      </c>
      <c r="B34" s="2" t="n">
        <v>46304</v>
      </c>
      <c r="C34" s="1" t="n">
        <v>0</v>
      </c>
      <c r="D34" s="1" t="n">
        <v>1</v>
      </c>
    </row>
    <row r="35" ht="13" customHeight="1">
      <c r="A35" s="1" t="inlineStr">
        <is>
          <t>BKK27</t>
        </is>
      </c>
      <c r="B35" s="2" t="n">
        <v>46314</v>
      </c>
      <c r="C35" s="1" t="n">
        <v>0</v>
      </c>
      <c r="D35" s="1" t="n">
        <v>1</v>
      </c>
    </row>
    <row r="36" ht="13" customHeight="1">
      <c r="A36" s="1" t="inlineStr">
        <is>
          <t>LCH27</t>
        </is>
      </c>
      <c r="B36" s="2" t="n">
        <v>46304</v>
      </c>
      <c r="C36" s="1" t="n">
        <v>0</v>
      </c>
      <c r="D36" s="1" t="n">
        <v>1</v>
      </c>
    </row>
    <row r="37" ht="13" customHeight="1">
      <c r="A37" s="1" t="inlineStr">
        <is>
          <t>BKK27</t>
        </is>
      </c>
      <c r="B37" s="2" t="n">
        <v>46305</v>
      </c>
      <c r="C37" s="1" t="n">
        <v>0</v>
      </c>
      <c r="D37" s="1" t="n">
        <v>1</v>
      </c>
    </row>
    <row r="38" ht="13" customHeight="1">
      <c r="A38" s="1" t="inlineStr">
        <is>
          <t>BKK27</t>
        </is>
      </c>
      <c r="B38" s="2" t="n">
        <v>46305</v>
      </c>
      <c r="C38" s="1" t="n">
        <v>0</v>
      </c>
      <c r="D38" s="1" t="n">
        <v>1</v>
      </c>
    </row>
    <row r="39" ht="13" customHeight="1">
      <c r="A39" s="1" t="inlineStr">
        <is>
          <t>BKK27</t>
        </is>
      </c>
      <c r="B39" s="2" t="n">
        <v>46314</v>
      </c>
      <c r="C39" s="1" t="n">
        <v>0</v>
      </c>
      <c r="D39" s="1" t="n">
        <v>1</v>
      </c>
    </row>
    <row r="40" ht="13" customHeight="1">
      <c r="A40" s="1" t="inlineStr">
        <is>
          <t>BKK27</t>
        </is>
      </c>
      <c r="B40" s="2" t="n">
        <v>46312</v>
      </c>
      <c r="C40" s="1" t="n">
        <v>0</v>
      </c>
      <c r="D40" s="1" t="n">
        <v>1</v>
      </c>
    </row>
    <row r="41" ht="13" customHeight="1">
      <c r="A41" s="1" t="inlineStr">
        <is>
          <t>LCH27</t>
        </is>
      </c>
      <c r="B41" s="2" t="n">
        <v>46317</v>
      </c>
      <c r="C41" s="1" t="n">
        <v>0</v>
      </c>
      <c r="D41" s="1" t="n">
        <v>1</v>
      </c>
    </row>
    <row r="42" ht="13" customHeight="1">
      <c r="A42" s="1" t="inlineStr">
        <is>
          <t>LCH27</t>
        </is>
      </c>
      <c r="B42" s="2" t="n">
        <v>46309</v>
      </c>
      <c r="C42" s="1" t="n">
        <v>0</v>
      </c>
      <c r="D42" s="1" t="n">
        <v>1</v>
      </c>
    </row>
    <row r="43" ht="13" customHeight="1">
      <c r="A43" s="1" t="inlineStr">
        <is>
          <t>BKK27</t>
        </is>
      </c>
      <c r="B43" s="2" t="n">
        <v>46305</v>
      </c>
      <c r="C43" s="1" t="n">
        <v>0</v>
      </c>
      <c r="D43" s="1" t="n">
        <v>1</v>
      </c>
    </row>
    <row r="44" ht="13" customHeight="1">
      <c r="A44" s="1" t="inlineStr">
        <is>
          <t>LCH27</t>
        </is>
      </c>
      <c r="B44" s="2" t="n">
        <v>46307</v>
      </c>
      <c r="C44" s="1" t="n">
        <v>0</v>
      </c>
      <c r="D44" s="1" t="n">
        <v>1</v>
      </c>
    </row>
    <row r="45" ht="13" customHeight="1">
      <c r="A45" s="1" t="inlineStr">
        <is>
          <t>BKK27</t>
        </is>
      </c>
      <c r="B45" s="2" t="n">
        <v>46316</v>
      </c>
      <c r="C45" s="1" t="n">
        <v>0</v>
      </c>
      <c r="D45" s="1" t="n">
        <v>1</v>
      </c>
    </row>
    <row r="46" ht="13" customHeight="1">
      <c r="A46" s="1" t="inlineStr">
        <is>
          <t>LCH27</t>
        </is>
      </c>
      <c r="B46" s="2" t="n">
        <v>46317</v>
      </c>
      <c r="C46" s="1" t="n">
        <v>0</v>
      </c>
      <c r="D46" s="1" t="n">
        <v>1</v>
      </c>
    </row>
    <row r="47" ht="13" customHeight="1">
      <c r="A47" s="1" t="inlineStr">
        <is>
          <t>LCH27</t>
        </is>
      </c>
      <c r="B47" s="2" t="n">
        <v>46312</v>
      </c>
      <c r="C47" s="1" t="n">
        <v>0</v>
      </c>
      <c r="D47" s="1" t="n">
        <v>1</v>
      </c>
    </row>
    <row r="48" ht="13" customHeight="1">
      <c r="A48" s="1" t="inlineStr">
        <is>
          <t>LCH27</t>
        </is>
      </c>
      <c r="B48" s="2" t="n">
        <v>46305</v>
      </c>
      <c r="C48" s="1" t="n">
        <v>0</v>
      </c>
      <c r="D48" s="1" t="n">
        <v>1</v>
      </c>
    </row>
    <row r="49" ht="13" customHeight="1">
      <c r="A49" s="1" t="inlineStr">
        <is>
          <t>LCH27</t>
        </is>
      </c>
      <c r="B49" s="2" t="n">
        <v>46311</v>
      </c>
      <c r="C49" s="1" t="n">
        <v>0</v>
      </c>
      <c r="D49" s="1" t="n">
        <v>1</v>
      </c>
    </row>
    <row r="50" ht="13" customHeight="1">
      <c r="A50" s="1" t="inlineStr">
        <is>
          <t>LCH27</t>
        </is>
      </c>
      <c r="B50" s="2" t="n">
        <v>46307</v>
      </c>
      <c r="C50" s="1" t="n">
        <v>0</v>
      </c>
      <c r="D50" s="1" t="n">
        <v>1</v>
      </c>
    </row>
    <row r="51" ht="13" customHeight="1">
      <c r="A51" s="1" t="inlineStr">
        <is>
          <t>LCH27</t>
        </is>
      </c>
      <c r="B51" s="2" t="n">
        <v>46310</v>
      </c>
      <c r="C51" s="1" t="n">
        <v>0</v>
      </c>
      <c r="D51" s="1" t="n">
        <v>1</v>
      </c>
    </row>
    <row r="52" ht="13" customHeight="1">
      <c r="A52" s="1" t="inlineStr">
        <is>
          <t>LCH27</t>
        </is>
      </c>
      <c r="B52" s="2" t="n">
        <v>46312</v>
      </c>
      <c r="C52" s="1" t="n">
        <v>0</v>
      </c>
      <c r="D52" s="1" t="n">
        <v>1</v>
      </c>
    </row>
    <row r="53" ht="13" customHeight="1">
      <c r="A53" s="1" t="inlineStr">
        <is>
          <t>LCH27</t>
        </is>
      </c>
      <c r="B53" s="2" t="n">
        <v>46304</v>
      </c>
      <c r="C53" s="1" t="n">
        <v>0</v>
      </c>
      <c r="D53" s="1" t="n">
        <v>1</v>
      </c>
    </row>
    <row r="54" ht="13" customHeight="1">
      <c r="A54" s="1" t="inlineStr">
        <is>
          <t>LCH27</t>
        </is>
      </c>
      <c r="B54" s="2" t="n">
        <v>46312</v>
      </c>
      <c r="C54" s="1" t="n">
        <v>0</v>
      </c>
      <c r="D54" s="1" t="n">
        <v>1</v>
      </c>
    </row>
    <row r="55" ht="13" customHeight="1">
      <c r="A55" s="1" t="inlineStr">
        <is>
          <t>BKK27</t>
        </is>
      </c>
      <c r="B55" s="2" t="n">
        <v>46315</v>
      </c>
      <c r="C55" s="1" t="n">
        <v>0</v>
      </c>
      <c r="D55" s="1" t="n">
        <v>1</v>
      </c>
    </row>
    <row r="56" ht="13" customHeight="1">
      <c r="A56" s="1" t="inlineStr">
        <is>
          <t>LCH27</t>
        </is>
      </c>
      <c r="B56" s="2" t="n">
        <v>46309</v>
      </c>
      <c r="C56" s="1" t="n">
        <v>0</v>
      </c>
      <c r="D56" s="1" t="n">
        <v>1</v>
      </c>
    </row>
    <row r="57" ht="13" customHeight="1">
      <c r="A57" s="1" t="inlineStr">
        <is>
          <t>BKK27</t>
        </is>
      </c>
      <c r="B57" s="2" t="n">
        <v>46319</v>
      </c>
      <c r="C57" s="1" t="n">
        <v>0</v>
      </c>
      <c r="D57" s="1" t="n">
        <v>1</v>
      </c>
    </row>
    <row r="58" ht="13" customHeight="1">
      <c r="A58" s="1" t="inlineStr">
        <is>
          <t>BKK27</t>
        </is>
      </c>
      <c r="B58" s="2" t="n">
        <v>46319</v>
      </c>
      <c r="C58" s="1" t="n">
        <v>0</v>
      </c>
      <c r="D58" s="1" t="n">
        <v>1</v>
      </c>
    </row>
    <row r="59" ht="13" customHeight="1">
      <c r="A59" s="1" t="inlineStr">
        <is>
          <t>LCH27</t>
        </is>
      </c>
      <c r="B59" s="2" t="n">
        <v>46314</v>
      </c>
      <c r="C59" s="1" t="n">
        <v>0</v>
      </c>
      <c r="D59" s="1" t="n">
        <v>1</v>
      </c>
    </row>
    <row r="60" ht="13" customHeight="1">
      <c r="A60" s="1" t="inlineStr">
        <is>
          <t>LCH27</t>
        </is>
      </c>
      <c r="B60" s="2" t="n">
        <v>46307</v>
      </c>
      <c r="C60" s="1" t="n">
        <v>0</v>
      </c>
      <c r="D60" s="1" t="n">
        <v>1</v>
      </c>
    </row>
    <row r="61" ht="13" customHeight="1">
      <c r="A61" s="1" t="inlineStr">
        <is>
          <t>LCH27</t>
        </is>
      </c>
      <c r="B61" s="2" t="n">
        <v>46318</v>
      </c>
      <c r="C61" s="1" t="n">
        <v>0</v>
      </c>
      <c r="D61" s="1" t="n">
        <v>1</v>
      </c>
    </row>
    <row r="62" ht="13" customHeight="1">
      <c r="A62" s="1" t="inlineStr">
        <is>
          <t>LCH27</t>
        </is>
      </c>
      <c r="B62" s="2" t="n">
        <v>46304</v>
      </c>
      <c r="C62" s="1" t="n">
        <v>0</v>
      </c>
      <c r="D62" s="1" t="n">
        <v>1</v>
      </c>
    </row>
    <row r="63" ht="13" customHeight="1">
      <c r="A63" s="1" t="inlineStr">
        <is>
          <t>BKK27</t>
        </is>
      </c>
      <c r="B63" s="2" t="n">
        <v>46315</v>
      </c>
      <c r="C63" s="1" t="n">
        <v>0</v>
      </c>
      <c r="D63" s="1" t="n">
        <v>1</v>
      </c>
    </row>
    <row r="64" ht="13" customHeight="1">
      <c r="A64" s="1" t="inlineStr">
        <is>
          <t>LCH27</t>
        </is>
      </c>
      <c r="B64" s="2" t="n">
        <v>46304</v>
      </c>
      <c r="C64" s="1" t="n">
        <v>0</v>
      </c>
      <c r="D64" s="1" t="n">
        <v>1</v>
      </c>
    </row>
    <row r="65" ht="13" customHeight="1">
      <c r="A65" s="1" t="inlineStr">
        <is>
          <t>LCH27</t>
        </is>
      </c>
      <c r="B65" s="2" t="n">
        <v>46312</v>
      </c>
      <c r="C65" s="1" t="n">
        <v>0</v>
      </c>
      <c r="D65" s="1" t="n">
        <v>1</v>
      </c>
    </row>
    <row r="66" ht="13" customHeight="1">
      <c r="A66" s="1" t="inlineStr">
        <is>
          <t>LCH27</t>
        </is>
      </c>
      <c r="B66" s="2" t="n">
        <v>46314</v>
      </c>
      <c r="C66" s="1" t="n">
        <v>0</v>
      </c>
      <c r="D66" s="1" t="n">
        <v>1</v>
      </c>
    </row>
    <row r="67" ht="13" customHeight="1">
      <c r="A67" s="1" t="inlineStr">
        <is>
          <t>LCH27</t>
        </is>
      </c>
      <c r="B67" s="2" t="n">
        <v>46311</v>
      </c>
      <c r="C67" s="1" t="n">
        <v>0</v>
      </c>
      <c r="D67" s="1" t="n">
        <v>1</v>
      </c>
    </row>
    <row r="68" ht="13" customHeight="1">
      <c r="A68" s="1" t="inlineStr">
        <is>
          <t>LCH27</t>
        </is>
      </c>
      <c r="B68" s="2" t="n">
        <v>46312</v>
      </c>
      <c r="C68" s="1" t="n">
        <v>0</v>
      </c>
      <c r="D68" s="1" t="n">
        <v>1</v>
      </c>
    </row>
    <row r="69" ht="13" customHeight="1">
      <c r="A69" s="1" t="inlineStr">
        <is>
          <t>LCH27</t>
        </is>
      </c>
      <c r="B69" s="2" t="n">
        <v>46311</v>
      </c>
      <c r="C69" s="1" t="n">
        <v>0</v>
      </c>
      <c r="D69" s="1" t="n">
        <v>1</v>
      </c>
    </row>
    <row r="70" ht="13" customHeight="1">
      <c r="A70" s="1" t="inlineStr">
        <is>
          <t>LCH27</t>
        </is>
      </c>
      <c r="B70" s="2" t="n">
        <v>46311</v>
      </c>
      <c r="C70" s="1" t="n">
        <v>0</v>
      </c>
      <c r="D70" s="1" t="n">
        <v>1</v>
      </c>
    </row>
    <row r="71" ht="13" customHeight="1">
      <c r="A71" s="1" t="inlineStr">
        <is>
          <t>LCH27</t>
        </is>
      </c>
      <c r="B71" s="2" t="n">
        <v>46312</v>
      </c>
      <c r="C71" s="1" t="n">
        <v>0</v>
      </c>
      <c r="D71" s="1" t="n">
        <v>1</v>
      </c>
    </row>
    <row r="72" ht="13" customHeight="1">
      <c r="A72" s="1" t="inlineStr">
        <is>
          <t>LCH27</t>
        </is>
      </c>
      <c r="B72" s="2" t="n">
        <v>46312</v>
      </c>
      <c r="C72" s="1" t="n">
        <v>0</v>
      </c>
      <c r="D72" s="1" t="n">
        <v>1</v>
      </c>
    </row>
    <row r="73" ht="13" customHeight="1">
      <c r="A73" s="1" t="inlineStr">
        <is>
          <t>LCH27</t>
        </is>
      </c>
      <c r="B73" s="2" t="n">
        <v>46307</v>
      </c>
      <c r="C73" s="1" t="n">
        <v>0</v>
      </c>
      <c r="D73" s="1" t="n">
        <v>1</v>
      </c>
    </row>
    <row r="74" ht="13" customHeight="1">
      <c r="A74" s="1" t="inlineStr">
        <is>
          <t>LCH27</t>
        </is>
      </c>
      <c r="B74" s="2" t="n">
        <v>46307</v>
      </c>
      <c r="C74" s="1" t="n">
        <v>0</v>
      </c>
      <c r="D74" s="1" t="n">
        <v>1</v>
      </c>
    </row>
    <row r="75" ht="13" customHeight="1">
      <c r="A75" s="1" t="inlineStr">
        <is>
          <t>LCH27</t>
        </is>
      </c>
      <c r="B75" s="2" t="n">
        <v>46305</v>
      </c>
      <c r="C75" s="1" t="n">
        <v>0</v>
      </c>
      <c r="D75" s="1" t="n">
        <v>1</v>
      </c>
    </row>
    <row r="76" ht="13" customHeight="1">
      <c r="A76" s="1" t="inlineStr">
        <is>
          <t>BKK27</t>
        </is>
      </c>
      <c r="B76" s="2" t="n">
        <v>46319</v>
      </c>
      <c r="C76" s="1" t="n">
        <v>0</v>
      </c>
      <c r="D76" s="1" t="n">
        <v>1</v>
      </c>
    </row>
    <row r="77" ht="13" customHeight="1">
      <c r="A77" s="1" t="inlineStr">
        <is>
          <t>LCH27</t>
        </is>
      </c>
      <c r="B77" s="2" t="n">
        <v>46311</v>
      </c>
      <c r="C77" s="1" t="n">
        <v>0</v>
      </c>
      <c r="D77" s="1" t="n">
        <v>1</v>
      </c>
    </row>
    <row r="78" ht="13" customHeight="1">
      <c r="A78" s="1" t="inlineStr">
        <is>
          <t>BKK27</t>
        </is>
      </c>
      <c r="B78" s="2" t="n">
        <v>46319</v>
      </c>
      <c r="C78" s="1" t="n">
        <v>0</v>
      </c>
      <c r="D78" s="1" t="n">
        <v>1</v>
      </c>
    </row>
    <row r="79" ht="13" customHeight="1">
      <c r="A79" s="1" t="inlineStr">
        <is>
          <t>BKK27</t>
        </is>
      </c>
      <c r="B79" s="2" t="n">
        <v>46319</v>
      </c>
      <c r="C79" s="1" t="n">
        <v>0</v>
      </c>
      <c r="D79" s="1" t="n">
        <v>1</v>
      </c>
    </row>
    <row r="80" ht="13" customHeight="1">
      <c r="A80" s="1" t="inlineStr">
        <is>
          <t>LCH27</t>
        </is>
      </c>
      <c r="B80" s="2" t="n">
        <v>46307</v>
      </c>
      <c r="C80" s="1" t="n">
        <v>0</v>
      </c>
      <c r="D80" s="1" t="n">
        <v>1</v>
      </c>
    </row>
    <row r="81" ht="13" customHeight="1">
      <c r="A81" s="1" t="inlineStr">
        <is>
          <t>BKK27</t>
        </is>
      </c>
      <c r="B81" s="2" t="n">
        <v>46305</v>
      </c>
      <c r="C81" s="1" t="n">
        <v>0</v>
      </c>
      <c r="D81" s="1" t="n">
        <v>1</v>
      </c>
    </row>
    <row r="82" ht="13" customHeight="1">
      <c r="A82" s="1" t="inlineStr">
        <is>
          <t>LCH27</t>
        </is>
      </c>
      <c r="B82" s="2" t="n">
        <v>46305</v>
      </c>
      <c r="C82" s="1" t="n">
        <v>0</v>
      </c>
      <c r="D82" s="1" t="n">
        <v>1</v>
      </c>
    </row>
    <row r="83" ht="13" customHeight="1">
      <c r="A83" s="1" t="inlineStr">
        <is>
          <t>BKK27</t>
        </is>
      </c>
      <c r="B83" s="2" t="n">
        <v>46309</v>
      </c>
      <c r="C83" s="1" t="n">
        <v>0</v>
      </c>
      <c r="D83" s="1" t="n">
        <v>1</v>
      </c>
    </row>
    <row r="84" ht="13" customHeight="1">
      <c r="A84" s="1" t="inlineStr">
        <is>
          <t>LCH27</t>
        </is>
      </c>
      <c r="B84" s="2" t="n">
        <v>46312</v>
      </c>
      <c r="C84" s="1" t="n">
        <v>0</v>
      </c>
      <c r="D84" s="1" t="n">
        <v>1</v>
      </c>
    </row>
    <row r="85" ht="13" customHeight="1">
      <c r="A85" s="1" t="inlineStr">
        <is>
          <t>LCH27</t>
        </is>
      </c>
      <c r="B85" s="2" t="n">
        <v>46304</v>
      </c>
      <c r="C85" s="1" t="n">
        <v>0</v>
      </c>
      <c r="D85" s="1" t="n">
        <v>1</v>
      </c>
    </row>
    <row r="86" ht="13" customHeight="1">
      <c r="A86" s="1" t="inlineStr">
        <is>
          <t>LCH27</t>
        </is>
      </c>
      <c r="B86" s="2" t="n">
        <v>46304</v>
      </c>
      <c r="C86" s="1" t="n">
        <v>0</v>
      </c>
      <c r="D86" s="1" t="n">
        <v>1</v>
      </c>
    </row>
    <row r="87" ht="13" customHeight="1">
      <c r="A87" s="1" t="inlineStr">
        <is>
          <t>LCH27</t>
        </is>
      </c>
      <c r="B87" s="2" t="n">
        <v>46312</v>
      </c>
      <c r="C87" s="1" t="n">
        <v>0</v>
      </c>
      <c r="D87" s="1" t="n">
        <v>1</v>
      </c>
    </row>
    <row r="88" ht="13" customHeight="1">
      <c r="A88" s="1" t="inlineStr">
        <is>
          <t>LCH27</t>
        </is>
      </c>
      <c r="B88" s="2" t="n">
        <v>46307</v>
      </c>
      <c r="C88" s="1" t="n">
        <v>0</v>
      </c>
      <c r="D88" s="1" t="n">
        <v>1</v>
      </c>
    </row>
    <row r="89" ht="13" customHeight="1">
      <c r="A89" s="1" t="inlineStr">
        <is>
          <t>LCH27</t>
        </is>
      </c>
      <c r="B89" s="2" t="n">
        <v>46314</v>
      </c>
      <c r="C89" s="1" t="n">
        <v>0</v>
      </c>
      <c r="D89" s="1" t="n">
        <v>1</v>
      </c>
    </row>
    <row r="90" ht="13" customHeight="1">
      <c r="A90" s="1" t="inlineStr">
        <is>
          <t>BKK27</t>
        </is>
      </c>
      <c r="B90" s="2" t="n">
        <v>46307</v>
      </c>
      <c r="C90" s="1" t="n">
        <v>0</v>
      </c>
      <c r="D90" s="1" t="n">
        <v>1</v>
      </c>
    </row>
    <row r="91" ht="13" customHeight="1">
      <c r="A91" s="1" t="inlineStr">
        <is>
          <t>BKK27</t>
        </is>
      </c>
      <c r="B91" s="2" t="n">
        <v>46319</v>
      </c>
      <c r="C91" s="1" t="n">
        <v>0</v>
      </c>
      <c r="D91" s="1" t="n">
        <v>1</v>
      </c>
    </row>
    <row r="92" ht="13" customHeight="1">
      <c r="A92" s="1" t="inlineStr">
        <is>
          <t>BKK27</t>
        </is>
      </c>
      <c r="B92" s="2" t="n">
        <v>46312</v>
      </c>
      <c r="C92" s="1" t="n">
        <v>0</v>
      </c>
      <c r="D92" s="1" t="n">
        <v>1</v>
      </c>
    </row>
    <row r="93" ht="13" customHeight="1">
      <c r="A93" s="1" t="inlineStr">
        <is>
          <t>BKK27</t>
        </is>
      </c>
      <c r="B93" s="2" t="n">
        <v>46307</v>
      </c>
      <c r="C93" s="1" t="n">
        <v>0</v>
      </c>
      <c r="D93" s="1" t="n">
        <v>1</v>
      </c>
    </row>
    <row r="94" ht="13" customHeight="1">
      <c r="A94" s="1" t="inlineStr">
        <is>
          <t>LCH27</t>
        </is>
      </c>
      <c r="B94" s="2" t="n">
        <v>46314</v>
      </c>
      <c r="C94" s="1" t="n">
        <v>0</v>
      </c>
      <c r="D94" s="1" t="n">
        <v>1</v>
      </c>
    </row>
    <row r="95" ht="13" customHeight="1">
      <c r="A95" s="1" t="inlineStr">
        <is>
          <t>LCH27</t>
        </is>
      </c>
      <c r="B95" s="2" t="n">
        <v>46309</v>
      </c>
      <c r="C95" s="1" t="n">
        <v>0</v>
      </c>
      <c r="D95" s="1" t="n">
        <v>1</v>
      </c>
    </row>
    <row r="96" ht="13" customHeight="1">
      <c r="A96" s="1" t="inlineStr">
        <is>
          <t>BKK27</t>
        </is>
      </c>
      <c r="B96" s="2" t="n">
        <v>46319</v>
      </c>
      <c r="C96" s="1" t="n">
        <v>0</v>
      </c>
      <c r="D96" s="1" t="n">
        <v>1</v>
      </c>
    </row>
    <row r="97" ht="13" customHeight="1">
      <c r="A97" s="1" t="inlineStr">
        <is>
          <t>LCH27</t>
        </is>
      </c>
      <c r="B97" s="2" t="n">
        <v>46307</v>
      </c>
      <c r="C97" s="1" t="n">
        <v>0</v>
      </c>
      <c r="D97" s="1" t="n">
        <v>1</v>
      </c>
    </row>
    <row r="98" ht="13" customHeight="1">
      <c r="A98" s="1" t="inlineStr">
        <is>
          <t>BKK27</t>
        </is>
      </c>
      <c r="B98" s="2" t="n">
        <v>46319</v>
      </c>
      <c r="C98" s="1" t="n">
        <v>0</v>
      </c>
      <c r="D98" s="1" t="n">
        <v>1</v>
      </c>
    </row>
    <row r="99" ht="13" customHeight="1">
      <c r="A99" s="1" t="inlineStr">
        <is>
          <t>BKK27</t>
        </is>
      </c>
      <c r="B99" s="2" t="n">
        <v>46310</v>
      </c>
      <c r="C99" s="1" t="n">
        <v>0</v>
      </c>
      <c r="D99" s="1" t="n">
        <v>1</v>
      </c>
    </row>
    <row r="100" ht="13" customHeight="1">
      <c r="A100" s="1" t="inlineStr">
        <is>
          <t>LCH27</t>
        </is>
      </c>
      <c r="B100" s="2" t="n">
        <v>46317</v>
      </c>
      <c r="C100" s="1" t="n">
        <v>0</v>
      </c>
      <c r="D100" s="1" t="n">
        <v>1</v>
      </c>
    </row>
    <row r="101" ht="13" customHeight="1">
      <c r="A101" s="1" t="inlineStr">
        <is>
          <t>LCH27</t>
        </is>
      </c>
      <c r="B101" s="2" t="n">
        <v>46307</v>
      </c>
      <c r="C101" s="1" t="n">
        <v>0</v>
      </c>
      <c r="D101" s="1" t="n">
        <v>1</v>
      </c>
    </row>
    <row r="102" ht="13" customHeight="1">
      <c r="A102" s="1" t="inlineStr">
        <is>
          <t>LCH27</t>
        </is>
      </c>
      <c r="B102" s="2" t="n">
        <v>46314</v>
      </c>
      <c r="C102" s="1" t="n">
        <v>0</v>
      </c>
      <c r="D102" s="1" t="n">
        <v>1</v>
      </c>
    </row>
    <row r="103" ht="13" customHeight="1">
      <c r="A103" s="1" t="inlineStr">
        <is>
          <t>BKK27</t>
        </is>
      </c>
      <c r="B103" s="2" t="n">
        <v>46314</v>
      </c>
      <c r="C103" s="1" t="n">
        <v>0</v>
      </c>
      <c r="D103" s="1" t="n">
        <v>1</v>
      </c>
    </row>
    <row r="104" ht="13" customHeight="1">
      <c r="A104" s="1" t="inlineStr">
        <is>
          <t>LCH27</t>
        </is>
      </c>
      <c r="B104" s="2" t="n">
        <v>46316</v>
      </c>
      <c r="C104" s="1" t="n">
        <v>0</v>
      </c>
      <c r="D104" s="1" t="n">
        <v>2</v>
      </c>
    </row>
    <row r="105" ht="13" customHeight="1">
      <c r="A105" s="1" t="inlineStr">
        <is>
          <t>BKK27</t>
        </is>
      </c>
      <c r="B105" s="2" t="n">
        <v>46311</v>
      </c>
      <c r="C105" s="1" t="n">
        <v>0</v>
      </c>
      <c r="D105" s="1" t="n">
        <v>6</v>
      </c>
    </row>
    <row r="106" ht="13" customHeight="1">
      <c r="A106" s="1" t="inlineStr">
        <is>
          <t>BKK27</t>
        </is>
      </c>
      <c r="B106" s="2" t="n">
        <v>46319</v>
      </c>
      <c r="C106" s="1" t="n">
        <v>0</v>
      </c>
      <c r="D106" s="1" t="n">
        <v>6</v>
      </c>
    </row>
    <row r="107" ht="13" customHeight="1">
      <c r="A107" s="1" t="inlineStr">
        <is>
          <t>BKK27</t>
        </is>
      </c>
      <c r="B107" s="2" t="n">
        <v>46304</v>
      </c>
      <c r="C107" s="1" t="n">
        <v>0</v>
      </c>
      <c r="D107" s="1" t="n">
        <v>7</v>
      </c>
    </row>
    <row r="108" ht="13" customHeight="1">
      <c r="A108" s="1" t="inlineStr">
        <is>
          <t>BKK27</t>
        </is>
      </c>
      <c r="B108" s="2" t="n">
        <v>46303</v>
      </c>
      <c r="C108" s="1" t="n">
        <v>0</v>
      </c>
      <c r="D108" s="1" t="n">
        <v>0</v>
      </c>
    </row>
    <row r="109" ht="13" customHeight="1">
      <c r="A109" s="1" t="inlineStr">
        <is>
          <t>BKK27</t>
        </is>
      </c>
      <c r="B109" s="2" t="n">
        <v>46302</v>
      </c>
      <c r="C109" s="1" t="n">
        <v>0</v>
      </c>
      <c r="D109" s="1" t="n">
        <v>0</v>
      </c>
    </row>
    <row r="110" ht="13" customHeight="1">
      <c r="A110" s="1" t="inlineStr">
        <is>
          <t>BKK27</t>
        </is>
      </c>
      <c r="B110" s="2" t="n">
        <v>46298</v>
      </c>
      <c r="C110" s="1" t="n">
        <v>0</v>
      </c>
      <c r="D110" s="1" t="n">
        <v>0</v>
      </c>
    </row>
    <row r="111" ht="13" customHeight="1">
      <c r="A111" s="1" t="inlineStr">
        <is>
          <t>BKK27</t>
        </is>
      </c>
      <c r="B111" s="2" t="n">
        <v>46303</v>
      </c>
      <c r="C111" s="1" t="n">
        <v>0</v>
      </c>
      <c r="D111" s="1" t="n">
        <v>0</v>
      </c>
    </row>
    <row r="112" ht="13" customHeight="1">
      <c r="A112" s="1" t="inlineStr">
        <is>
          <t>BKK27</t>
        </is>
      </c>
      <c r="B112" s="2" t="n">
        <v>46303</v>
      </c>
      <c r="C112" s="1" t="n">
        <v>0</v>
      </c>
      <c r="D112" s="1" t="n">
        <v>0</v>
      </c>
    </row>
    <row r="113" ht="13" customHeight="1">
      <c r="A113" s="1" t="inlineStr">
        <is>
          <t>BKK27</t>
        </is>
      </c>
      <c r="B113" s="2" t="n">
        <v>46303</v>
      </c>
      <c r="C113" s="1" t="n">
        <v>0</v>
      </c>
      <c r="D113" s="1" t="n">
        <v>0</v>
      </c>
    </row>
    <row r="114" ht="13" customHeight="1">
      <c r="A114" s="1" t="inlineStr">
        <is>
          <t>BKK27</t>
        </is>
      </c>
      <c r="B114" s="2" t="n">
        <v>46302</v>
      </c>
      <c r="C114" s="1" t="n">
        <v>0</v>
      </c>
      <c r="D114" s="1" t="n">
        <v>0</v>
      </c>
    </row>
    <row r="115" ht="13" customHeight="1">
      <c r="A115" s="1" t="inlineStr">
        <is>
          <t>BKK27</t>
        </is>
      </c>
      <c r="B115" s="2" t="n">
        <v>46302</v>
      </c>
      <c r="C115" s="1" t="n">
        <v>0</v>
      </c>
      <c r="D115" s="1" t="n">
        <v>0</v>
      </c>
    </row>
    <row r="116" ht="13" customHeight="1">
      <c r="A116" s="1" t="inlineStr">
        <is>
          <t>BKK27</t>
        </is>
      </c>
      <c r="B116" s="2" t="n">
        <v>46303</v>
      </c>
      <c r="C116" s="1" t="n">
        <v>0</v>
      </c>
      <c r="D116" s="1" t="n">
        <v>0</v>
      </c>
    </row>
    <row r="117" ht="13" customHeight="1">
      <c r="A117" s="1" t="inlineStr">
        <is>
          <t>BKK27</t>
        </is>
      </c>
      <c r="B117" s="2" t="n">
        <v>46298</v>
      </c>
      <c r="C117" s="1" t="n">
        <v>0</v>
      </c>
      <c r="D117" s="1" t="n">
        <v>0</v>
      </c>
    </row>
    <row r="118" ht="13" customHeight="1">
      <c r="A118" s="1" t="inlineStr">
        <is>
          <t>BKK27</t>
        </is>
      </c>
      <c r="B118" s="2" t="n">
        <v>46303</v>
      </c>
      <c r="C118" s="1" t="n">
        <v>0</v>
      </c>
      <c r="D118" s="1" t="n">
        <v>1</v>
      </c>
    </row>
    <row r="119" ht="13" customHeight="1">
      <c r="A119" s="1" t="inlineStr">
        <is>
          <t>BKK27</t>
        </is>
      </c>
      <c r="B119" s="2" t="n">
        <v>46302</v>
      </c>
      <c r="C119" s="1" t="n">
        <v>0</v>
      </c>
      <c r="D119" s="1" t="n">
        <v>0</v>
      </c>
    </row>
    <row r="120" ht="13" customHeight="1">
      <c r="A120" s="1" t="inlineStr">
        <is>
          <t>BKK27</t>
        </is>
      </c>
      <c r="B120" s="2" t="n">
        <v>46291</v>
      </c>
      <c r="C120" s="1" t="n">
        <v>0</v>
      </c>
      <c r="D120" s="1" t="n">
        <v>0</v>
      </c>
    </row>
    <row r="121" ht="13" customHeight="1">
      <c r="A121" s="1" t="inlineStr">
        <is>
          <t>BKK27</t>
        </is>
      </c>
      <c r="B121" s="2" t="n">
        <v>46302</v>
      </c>
      <c r="C121" s="1" t="n">
        <v>0</v>
      </c>
      <c r="D121" s="1" t="n">
        <v>0</v>
      </c>
    </row>
    <row r="122" ht="13" customHeight="1">
      <c r="A122" s="1" t="inlineStr">
        <is>
          <t>BKK27</t>
        </is>
      </c>
      <c r="B122" s="2" t="n">
        <v>46302</v>
      </c>
      <c r="C122" s="1" t="n">
        <v>0</v>
      </c>
      <c r="D122" s="1" t="n">
        <v>0</v>
      </c>
    </row>
    <row r="123" ht="13" customHeight="1">
      <c r="A123" s="1" t="inlineStr">
        <is>
          <t>BKK27</t>
        </is>
      </c>
      <c r="B123" s="2" t="n">
        <v>46301</v>
      </c>
      <c r="C123" s="1" t="n">
        <v>0</v>
      </c>
      <c r="D123" s="1" t="n">
        <v>0</v>
      </c>
    </row>
    <row r="124" ht="13" customHeight="1">
      <c r="A124" s="1" t="inlineStr">
        <is>
          <t>BKK27</t>
        </is>
      </c>
      <c r="B124" s="2" t="n">
        <v>46302</v>
      </c>
      <c r="C124" s="1" t="n">
        <v>0</v>
      </c>
      <c r="D124" s="1" t="n">
        <v>0</v>
      </c>
    </row>
    <row r="125" ht="13" customHeight="1">
      <c r="A125" s="1" t="inlineStr">
        <is>
          <t>BKK27</t>
        </is>
      </c>
      <c r="B125" s="2" t="n">
        <v>46302</v>
      </c>
      <c r="C125" s="1" t="n">
        <v>0</v>
      </c>
      <c r="D125" s="1" t="n">
        <v>0</v>
      </c>
    </row>
    <row r="126" ht="13" customHeight="1">
      <c r="A126" s="1" t="inlineStr">
        <is>
          <t>BKK27</t>
        </is>
      </c>
      <c r="B126" s="2" t="n">
        <v>46301</v>
      </c>
      <c r="C126" s="1" t="n">
        <v>0</v>
      </c>
      <c r="D126" s="1" t="n">
        <v>0</v>
      </c>
    </row>
    <row r="127" ht="13" customHeight="1">
      <c r="A127" s="1" t="inlineStr">
        <is>
          <t>BKK27</t>
        </is>
      </c>
      <c r="B127" s="2" t="n">
        <v>46303</v>
      </c>
      <c r="C127" s="1" t="n">
        <v>0</v>
      </c>
      <c r="D127" s="1" t="n">
        <v>0</v>
      </c>
    </row>
    <row r="128" ht="13" customHeight="1">
      <c r="A128" s="1" t="inlineStr">
        <is>
          <t>BKK27</t>
        </is>
      </c>
      <c r="B128" s="2" t="n">
        <v>46303</v>
      </c>
      <c r="C128" s="1" t="n">
        <v>0</v>
      </c>
      <c r="D128" s="1" t="n">
        <v>0</v>
      </c>
    </row>
    <row r="129" ht="13" customHeight="1">
      <c r="A129" s="1" t="inlineStr">
        <is>
          <t>BKK27</t>
        </is>
      </c>
      <c r="B129" s="2" t="n">
        <v>46303</v>
      </c>
      <c r="C129" s="1" t="n">
        <v>0</v>
      </c>
      <c r="D129" s="1" t="n">
        <v>0</v>
      </c>
    </row>
    <row r="130" ht="13" customHeight="1">
      <c r="A130" s="1" t="inlineStr">
        <is>
          <t>BKK27</t>
        </is>
      </c>
      <c r="B130" s="2" t="n">
        <v>46303</v>
      </c>
      <c r="C130" s="1" t="n">
        <v>0</v>
      </c>
      <c r="D130" s="1" t="n">
        <v>0</v>
      </c>
    </row>
    <row r="131" ht="13" customHeight="1">
      <c r="A131" s="1" t="inlineStr">
        <is>
          <t>BKK27</t>
        </is>
      </c>
      <c r="B131" s="2" t="n">
        <v>46303</v>
      </c>
      <c r="C131" s="1" t="n">
        <v>0</v>
      </c>
      <c r="D131" s="1" t="n">
        <v>0</v>
      </c>
    </row>
    <row r="132" ht="13" customHeight="1">
      <c r="A132" s="1" t="inlineStr">
        <is>
          <t>BKK27</t>
        </is>
      </c>
      <c r="B132" s="2" t="n">
        <v>46303</v>
      </c>
      <c r="C132" s="1" t="n">
        <v>0</v>
      </c>
      <c r="D132" s="1" t="n">
        <v>0</v>
      </c>
    </row>
    <row r="133" ht="13" customHeight="1">
      <c r="A133" s="1" t="inlineStr">
        <is>
          <t>LCH27</t>
        </is>
      </c>
      <c r="B133" s="2" t="n">
        <v>46303</v>
      </c>
      <c r="C133" s="1" t="n">
        <v>0</v>
      </c>
      <c r="D133" s="1" t="n">
        <v>0</v>
      </c>
    </row>
    <row r="134" ht="13" customHeight="1">
      <c r="A134" s="1" t="inlineStr">
        <is>
          <t>LCH27</t>
        </is>
      </c>
      <c r="B134" s="2" t="n">
        <v>46303</v>
      </c>
      <c r="C134" s="1" t="n">
        <v>0</v>
      </c>
      <c r="D134" s="1" t="n">
        <v>0</v>
      </c>
    </row>
    <row r="135" ht="13" customHeight="1">
      <c r="A135" s="1" t="inlineStr">
        <is>
          <t>LCH27</t>
        </is>
      </c>
      <c r="B135" s="2" t="n">
        <v>46279</v>
      </c>
      <c r="C135" s="1" t="n">
        <v>0</v>
      </c>
      <c r="D135" s="1" t="n">
        <v>0</v>
      </c>
    </row>
    <row r="136" ht="13" customHeight="1">
      <c r="A136" s="1" t="inlineStr">
        <is>
          <t>LCH27</t>
        </is>
      </c>
      <c r="B136" s="2" t="n">
        <v>46303</v>
      </c>
      <c r="C136" s="1" t="n">
        <v>0</v>
      </c>
      <c r="D136" s="1" t="n">
        <v>0</v>
      </c>
    </row>
    <row r="137" ht="13" customHeight="1">
      <c r="A137" s="1" t="inlineStr">
        <is>
          <t>LCH27</t>
        </is>
      </c>
      <c r="B137" s="2" t="n">
        <v>46300</v>
      </c>
      <c r="C137" s="1" t="n">
        <v>0</v>
      </c>
      <c r="D137" s="1" t="n">
        <v>0</v>
      </c>
    </row>
    <row r="138" ht="13" customHeight="1">
      <c r="A138" s="1" t="inlineStr">
        <is>
          <t>LCH27</t>
        </is>
      </c>
      <c r="B138" s="2" t="n">
        <v>46296</v>
      </c>
      <c r="C138" s="1" t="n">
        <v>0</v>
      </c>
      <c r="D138" s="1" t="n">
        <v>0</v>
      </c>
    </row>
    <row r="139" ht="13" customHeight="1">
      <c r="A139" s="1" t="inlineStr">
        <is>
          <t>LCH27</t>
        </is>
      </c>
      <c r="B139" s="2" t="n">
        <v>46301</v>
      </c>
      <c r="C139" s="1" t="n">
        <v>0</v>
      </c>
      <c r="D139" s="1" t="n">
        <v>0</v>
      </c>
    </row>
    <row r="140" ht="13" customHeight="1">
      <c r="A140" s="1" t="inlineStr">
        <is>
          <t>LCH27</t>
        </is>
      </c>
      <c r="B140" s="2" t="n">
        <v>46302</v>
      </c>
      <c r="C140" s="1" t="n">
        <v>0</v>
      </c>
      <c r="D140" s="1" t="n">
        <v>0</v>
      </c>
    </row>
    <row r="141" ht="13" customHeight="1">
      <c r="A141" s="1" t="inlineStr">
        <is>
          <t>LCH27</t>
        </is>
      </c>
      <c r="B141" s="2" t="n">
        <v>46300</v>
      </c>
      <c r="C141" s="1" t="n">
        <v>0</v>
      </c>
      <c r="D141" s="1" t="n">
        <v>0</v>
      </c>
    </row>
    <row r="142" ht="13" customHeight="1">
      <c r="A142" s="1" t="inlineStr">
        <is>
          <t>LCH27</t>
        </is>
      </c>
      <c r="B142" s="2" t="n">
        <v>46302</v>
      </c>
      <c r="C142" s="1" t="n">
        <v>0</v>
      </c>
      <c r="D142" s="1" t="n">
        <v>1</v>
      </c>
    </row>
    <row r="143" ht="13" customHeight="1">
      <c r="A143" s="1" t="inlineStr">
        <is>
          <t>LCH27</t>
        </is>
      </c>
      <c r="B143" s="2" t="n">
        <v>46303</v>
      </c>
      <c r="C143" s="1" t="n">
        <v>0</v>
      </c>
      <c r="D143" s="1" t="n">
        <v>0</v>
      </c>
    </row>
    <row r="144" ht="13" customHeight="1">
      <c r="A144" s="1" t="inlineStr">
        <is>
          <t>LCH27</t>
        </is>
      </c>
      <c r="B144" s="2" t="n">
        <v>46301</v>
      </c>
      <c r="C144" s="1" t="n">
        <v>0</v>
      </c>
      <c r="D144" s="1" t="n">
        <v>0</v>
      </c>
    </row>
    <row r="145" ht="13" customHeight="1">
      <c r="A145" s="1" t="inlineStr">
        <is>
          <t>LCH27</t>
        </is>
      </c>
      <c r="B145" s="2" t="n">
        <v>46298</v>
      </c>
      <c r="C145" s="1" t="n">
        <v>0</v>
      </c>
      <c r="D145" s="1" t="n">
        <v>1</v>
      </c>
    </row>
    <row r="146" ht="13" customHeight="1">
      <c r="A146" s="1" t="inlineStr">
        <is>
          <t>LCH27</t>
        </is>
      </c>
      <c r="B146" s="2" t="n">
        <v>46302</v>
      </c>
      <c r="C146" s="1" t="n">
        <v>0</v>
      </c>
      <c r="D146" s="1" t="n">
        <v>1</v>
      </c>
    </row>
    <row r="147" ht="13" customHeight="1">
      <c r="A147" s="1" t="inlineStr">
        <is>
          <t>LCH27</t>
        </is>
      </c>
      <c r="B147" s="2" t="n">
        <v>46303</v>
      </c>
      <c r="C147" s="1" t="n">
        <v>0</v>
      </c>
      <c r="D147" s="1" t="n">
        <v>0</v>
      </c>
    </row>
    <row r="148" ht="13" customHeight="1">
      <c r="A148" s="1" t="inlineStr">
        <is>
          <t>LCH27</t>
        </is>
      </c>
      <c r="B148" s="2" t="n">
        <v>46303</v>
      </c>
      <c r="C148" s="1" t="n">
        <v>0</v>
      </c>
      <c r="D148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3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Size/Type</t>
        </is>
      </c>
      <c r="C1" s="1" t="inlineStr">
        <is>
          <t>Move Code</t>
        </is>
      </c>
    </row>
    <row r="2" ht="13" customHeight="1">
      <c r="A2" s="1" t="inlineStr">
        <is>
          <t>BKK27</t>
        </is>
      </c>
      <c r="B2" s="1" t="inlineStr">
        <is>
          <t>22RE</t>
        </is>
      </c>
      <c r="C2" s="1" t="inlineStr">
        <is>
          <t>IER</t>
        </is>
      </c>
    </row>
    <row r="3" ht="13" customHeight="1">
      <c r="A3" s="1" t="inlineStr">
        <is>
          <t>BKK27</t>
        </is>
      </c>
      <c r="B3" s="1" t="inlineStr">
        <is>
          <t>22RE</t>
        </is>
      </c>
      <c r="C3" s="1" t="inlineStr">
        <is>
          <t>OER</t>
        </is>
      </c>
    </row>
    <row r="4" ht="13" customHeight="1">
      <c r="A4" s="1" t="inlineStr">
        <is>
          <t>BKK27</t>
        </is>
      </c>
      <c r="B4" s="1" t="inlineStr">
        <is>
          <t>45RE</t>
        </is>
      </c>
      <c r="C4" s="1" t="inlineStr">
        <is>
          <t>IER</t>
        </is>
      </c>
    </row>
    <row r="5" ht="13" customHeight="1">
      <c r="A5" s="1" t="inlineStr">
        <is>
          <t>LCH27</t>
        </is>
      </c>
      <c r="B5" s="1" t="inlineStr">
        <is>
          <t>45RE</t>
        </is>
      </c>
      <c r="C5" s="1" t="inlineStr">
        <is>
          <t>OER</t>
        </is>
      </c>
    </row>
    <row r="6" ht="13" customHeight="1">
      <c r="A6" s="1" t="inlineStr">
        <is>
          <t>LCH27</t>
        </is>
      </c>
      <c r="B6" s="1" t="inlineStr">
        <is>
          <t>45RE</t>
        </is>
      </c>
      <c r="C6" s="1" t="inlineStr">
        <is>
          <t>IED</t>
        </is>
      </c>
    </row>
    <row r="7" ht="13" customHeight="1">
      <c r="A7" s="1" t="inlineStr">
        <is>
          <t>BKK27</t>
        </is>
      </c>
      <c r="B7" s="1" t="inlineStr">
        <is>
          <t>45RE</t>
        </is>
      </c>
      <c r="C7" s="1" t="inlineStr">
        <is>
          <t>IED</t>
        </is>
      </c>
    </row>
    <row r="8" ht="13" customHeight="1">
      <c r="A8" s="1" t="inlineStr">
        <is>
          <t>BKK27</t>
        </is>
      </c>
      <c r="B8" s="1" t="inlineStr">
        <is>
          <t>45RE</t>
        </is>
      </c>
      <c r="C8" s="1" t="inlineStr">
        <is>
          <t>OER</t>
        </is>
      </c>
    </row>
    <row r="9" ht="13" customHeight="1">
      <c r="A9" s="1" t="inlineStr">
        <is>
          <t>BKK27</t>
        </is>
      </c>
      <c r="B9" s="1" t="inlineStr">
        <is>
          <t>45RE</t>
        </is>
      </c>
      <c r="C9" s="1" t="inlineStr">
        <is>
          <t>IED</t>
        </is>
      </c>
    </row>
    <row r="10" ht="13" customHeight="1">
      <c r="A10" s="1" t="inlineStr">
        <is>
          <t>BKK27</t>
        </is>
      </c>
      <c r="B10" s="1" t="inlineStr">
        <is>
          <t>22RE</t>
        </is>
      </c>
      <c r="C10" s="1" t="inlineStr">
        <is>
          <t>IER</t>
        </is>
      </c>
    </row>
    <row r="11" ht="13" customHeight="1">
      <c r="A11" s="1" t="inlineStr">
        <is>
          <t>BKK27</t>
        </is>
      </c>
      <c r="B11" s="1" t="inlineStr">
        <is>
          <t>22RE</t>
        </is>
      </c>
      <c r="C11" s="1" t="inlineStr">
        <is>
          <t>IER</t>
        </is>
      </c>
    </row>
    <row r="12" ht="13" customHeight="1">
      <c r="A12" s="1" t="inlineStr">
        <is>
          <t>BKK27</t>
        </is>
      </c>
      <c r="B12" s="1" t="inlineStr">
        <is>
          <t>22RE</t>
        </is>
      </c>
      <c r="C12" s="1" t="inlineStr">
        <is>
          <t>IER</t>
        </is>
      </c>
    </row>
    <row r="13" ht="13" customHeight="1">
      <c r="A13" s="1" t="inlineStr">
        <is>
          <t>LCH27</t>
        </is>
      </c>
      <c r="B13" s="1" t="inlineStr">
        <is>
          <t>22RE</t>
        </is>
      </c>
      <c r="C13" s="1" t="inlineStr">
        <is>
          <t>IER</t>
        </is>
      </c>
    </row>
    <row r="14" ht="13" customHeight="1">
      <c r="A14" s="1" t="inlineStr">
        <is>
          <t>LCH27</t>
        </is>
      </c>
      <c r="B14" s="1" t="inlineStr">
        <is>
          <t>22RE</t>
        </is>
      </c>
      <c r="C14" s="1" t="inlineStr">
        <is>
          <t>IER</t>
        </is>
      </c>
    </row>
    <row r="15" ht="13" customHeight="1">
      <c r="A15" s="1" t="inlineStr">
        <is>
          <t>LCH27</t>
        </is>
      </c>
      <c r="B15" s="1" t="inlineStr">
        <is>
          <t>22RE</t>
        </is>
      </c>
      <c r="C15" s="1" t="inlineStr">
        <is>
          <t>IER</t>
        </is>
      </c>
    </row>
    <row r="16" ht="13" customHeight="1">
      <c r="A16" s="1" t="inlineStr">
        <is>
          <t>BKK27</t>
        </is>
      </c>
      <c r="B16" s="1" t="inlineStr">
        <is>
          <t>22RE</t>
        </is>
      </c>
      <c r="C16" s="1" t="inlineStr">
        <is>
          <t>IER</t>
        </is>
      </c>
    </row>
    <row r="17" ht="13" customHeight="1">
      <c r="A17" s="1" t="inlineStr">
        <is>
          <t>BKK27</t>
        </is>
      </c>
      <c r="B17" s="1" t="inlineStr">
        <is>
          <t>22RE</t>
        </is>
      </c>
      <c r="C17" s="1" t="inlineStr">
        <is>
          <t>OER</t>
        </is>
      </c>
    </row>
    <row r="18" ht="13" customHeight="1">
      <c r="A18" s="1" t="inlineStr">
        <is>
          <t>BKK27</t>
        </is>
      </c>
      <c r="B18" s="1" t="inlineStr">
        <is>
          <t>45RE</t>
        </is>
      </c>
      <c r="C18" s="1" t="inlineStr">
        <is>
          <t>OER</t>
        </is>
      </c>
    </row>
    <row r="19" ht="13" customHeight="1">
      <c r="A19" s="1" t="inlineStr">
        <is>
          <t>BKK27</t>
        </is>
      </c>
      <c r="B19" s="1" t="inlineStr">
        <is>
          <t>22RE</t>
        </is>
      </c>
      <c r="C19" s="1" t="inlineStr">
        <is>
          <t>OER</t>
        </is>
      </c>
    </row>
    <row r="20" ht="13" customHeight="1">
      <c r="A20" s="1" t="inlineStr">
        <is>
          <t>BKK27</t>
        </is>
      </c>
      <c r="B20" s="1" t="inlineStr">
        <is>
          <t>45RE</t>
        </is>
      </c>
      <c r="C20" s="1" t="inlineStr">
        <is>
          <t>OER</t>
        </is>
      </c>
    </row>
    <row r="21" ht="13" customHeight="1">
      <c r="A21" s="1" t="inlineStr">
        <is>
          <t>BKK27</t>
        </is>
      </c>
      <c r="B21" s="1" t="inlineStr">
        <is>
          <t>22RE</t>
        </is>
      </c>
      <c r="C21" s="1" t="inlineStr">
        <is>
          <t>OER</t>
        </is>
      </c>
    </row>
    <row r="22" ht="13" customHeight="1">
      <c r="A22" s="1" t="inlineStr">
        <is>
          <t>BKK27</t>
        </is>
      </c>
      <c r="B22" s="1" t="inlineStr">
        <is>
          <t>45RE</t>
        </is>
      </c>
      <c r="C22" s="1" t="inlineStr">
        <is>
          <t>OER</t>
        </is>
      </c>
    </row>
    <row r="23" ht="13" customHeight="1">
      <c r="A23" s="1" t="inlineStr">
        <is>
          <t>BKK27</t>
        </is>
      </c>
      <c r="B23" s="1" t="inlineStr">
        <is>
          <t>22RE</t>
        </is>
      </c>
      <c r="C23" s="1" t="inlineStr">
        <is>
          <t>IER</t>
        </is>
      </c>
    </row>
    <row r="24" ht="13" customHeight="1">
      <c r="A24" s="1" t="inlineStr">
        <is>
          <t>LCH27</t>
        </is>
      </c>
      <c r="B24" s="1" t="inlineStr">
        <is>
          <t>45RE</t>
        </is>
      </c>
      <c r="C24" s="1" t="inlineStr">
        <is>
          <t>OER</t>
        </is>
      </c>
    </row>
    <row r="25" ht="13" customHeight="1">
      <c r="A25" s="1" t="inlineStr">
        <is>
          <t>LCH27</t>
        </is>
      </c>
      <c r="B25" s="1" t="inlineStr">
        <is>
          <t>45RE</t>
        </is>
      </c>
      <c r="C25" s="1" t="inlineStr">
        <is>
          <t>OER</t>
        </is>
      </c>
    </row>
    <row r="26" ht="13" customHeight="1">
      <c r="A26" s="1" t="inlineStr">
        <is>
          <t>LCH27</t>
        </is>
      </c>
      <c r="B26" s="1" t="inlineStr">
        <is>
          <t>45RE</t>
        </is>
      </c>
      <c r="C26" s="1" t="inlineStr">
        <is>
          <t>OER</t>
        </is>
      </c>
    </row>
    <row r="27" ht="13" customHeight="1">
      <c r="A27" s="1" t="inlineStr">
        <is>
          <t>LCH27</t>
        </is>
      </c>
      <c r="B27" s="1" t="inlineStr">
        <is>
          <t>45RE</t>
        </is>
      </c>
      <c r="C27" s="1" t="inlineStr">
        <is>
          <t>OER</t>
        </is>
      </c>
    </row>
    <row r="28" ht="13" customHeight="1">
      <c r="A28" s="1" t="inlineStr">
        <is>
          <t>BKK27</t>
        </is>
      </c>
      <c r="B28" s="1" t="inlineStr">
        <is>
          <t>45RE</t>
        </is>
      </c>
      <c r="C28" s="1" t="inlineStr">
        <is>
          <t>IER</t>
        </is>
      </c>
    </row>
    <row r="29" ht="13" customHeight="1">
      <c r="A29" s="1" t="inlineStr">
        <is>
          <t>BKK27</t>
        </is>
      </c>
      <c r="B29" s="1" t="inlineStr">
        <is>
          <t>22RE</t>
        </is>
      </c>
      <c r="C29" s="1" t="inlineStr">
        <is>
          <t>IER</t>
        </is>
      </c>
    </row>
    <row r="30" ht="13" customHeight="1">
      <c r="A30" s="1" t="inlineStr">
        <is>
          <t>BKK27</t>
        </is>
      </c>
      <c r="B30" s="1" t="inlineStr">
        <is>
          <t>45RE</t>
        </is>
      </c>
      <c r="C30" s="1" t="inlineStr">
        <is>
          <t>IER</t>
        </is>
      </c>
    </row>
    <row r="31" ht="13" customHeight="1">
      <c r="A31" s="1" t="inlineStr">
        <is>
          <t>LCH27</t>
        </is>
      </c>
      <c r="B31" s="1" t="inlineStr">
        <is>
          <t>45RE</t>
        </is>
      </c>
      <c r="C31" s="1" t="inlineStr">
        <is>
          <t>OER</t>
        </is>
      </c>
    </row>
    <row r="32" ht="13" customHeight="1">
      <c r="A32" s="1" t="inlineStr">
        <is>
          <t>BKK27</t>
        </is>
      </c>
      <c r="B32" s="1" t="inlineStr">
        <is>
          <t>22RE</t>
        </is>
      </c>
      <c r="C32" s="1" t="inlineStr">
        <is>
          <t>OER</t>
        </is>
      </c>
    </row>
    <row r="33" ht="13" customHeight="1">
      <c r="A33" s="1" t="inlineStr">
        <is>
          <t>LCH27</t>
        </is>
      </c>
      <c r="B33" s="1" t="inlineStr">
        <is>
          <t>45RE</t>
        </is>
      </c>
      <c r="C33" s="1" t="inlineStr">
        <is>
          <t>OER</t>
        </is>
      </c>
    </row>
    <row r="34" ht="13" customHeight="1">
      <c r="A34" s="1" t="inlineStr">
        <is>
          <t>LCH27</t>
        </is>
      </c>
      <c r="B34" s="1" t="inlineStr">
        <is>
          <t>45RE</t>
        </is>
      </c>
      <c r="C34" s="1" t="inlineStr">
        <is>
          <t>OER</t>
        </is>
      </c>
    </row>
    <row r="35" ht="13" customHeight="1">
      <c r="A35" s="1" t="inlineStr">
        <is>
          <t>BKK27</t>
        </is>
      </c>
      <c r="B35" s="1" t="inlineStr">
        <is>
          <t>45RE</t>
        </is>
      </c>
      <c r="C35" s="1" t="inlineStr">
        <is>
          <t>IED</t>
        </is>
      </c>
    </row>
    <row r="36" ht="13" customHeight="1">
      <c r="A36" s="1" t="inlineStr">
        <is>
          <t>LCH27</t>
        </is>
      </c>
      <c r="B36" s="1" t="inlineStr">
        <is>
          <t>45RE</t>
        </is>
      </c>
      <c r="C36" s="1" t="inlineStr">
        <is>
          <t>OER</t>
        </is>
      </c>
    </row>
    <row r="37" ht="13" customHeight="1">
      <c r="A37" s="1" t="inlineStr">
        <is>
          <t>BKK27</t>
        </is>
      </c>
      <c r="B37" s="1" t="inlineStr">
        <is>
          <t>22RE</t>
        </is>
      </c>
      <c r="C37" s="1" t="inlineStr">
        <is>
          <t>IER</t>
        </is>
      </c>
    </row>
    <row r="38" ht="13" customHeight="1">
      <c r="A38" s="1" t="inlineStr">
        <is>
          <t>BKK27</t>
        </is>
      </c>
      <c r="B38" s="1" t="inlineStr">
        <is>
          <t>22RE</t>
        </is>
      </c>
      <c r="C38" s="1" t="inlineStr">
        <is>
          <t>IER</t>
        </is>
      </c>
    </row>
    <row r="39" ht="13" customHeight="1">
      <c r="A39" s="1" t="inlineStr">
        <is>
          <t>BKK27</t>
        </is>
      </c>
      <c r="B39" s="1" t="inlineStr">
        <is>
          <t>22RE</t>
        </is>
      </c>
      <c r="C39" s="1" t="inlineStr">
        <is>
          <t>OER</t>
        </is>
      </c>
    </row>
    <row r="40" ht="13" customHeight="1">
      <c r="A40" s="1" t="inlineStr">
        <is>
          <t>BKK27</t>
        </is>
      </c>
      <c r="B40" s="1" t="inlineStr">
        <is>
          <t>22RE</t>
        </is>
      </c>
      <c r="C40" s="1" t="inlineStr">
        <is>
          <t>IER</t>
        </is>
      </c>
    </row>
    <row r="41" ht="13" customHeight="1">
      <c r="A41" s="1" t="inlineStr">
        <is>
          <t>BKK27</t>
        </is>
      </c>
      <c r="B41" s="1" t="inlineStr">
        <is>
          <t>22RE</t>
        </is>
      </c>
      <c r="C41" s="1" t="inlineStr">
        <is>
          <t>IER</t>
        </is>
      </c>
    </row>
    <row r="42" ht="13" customHeight="1">
      <c r="A42" s="1" t="inlineStr">
        <is>
          <t>BKK27</t>
        </is>
      </c>
      <c r="B42" s="1" t="inlineStr">
        <is>
          <t>22RE</t>
        </is>
      </c>
      <c r="C42" s="1" t="inlineStr">
        <is>
          <t>IER</t>
        </is>
      </c>
    </row>
    <row r="43" ht="13" customHeight="1">
      <c r="A43" s="1" t="inlineStr">
        <is>
          <t>BKK27</t>
        </is>
      </c>
      <c r="B43" s="1" t="inlineStr">
        <is>
          <t>22RE</t>
        </is>
      </c>
      <c r="C43" s="1" t="inlineStr">
        <is>
          <t>IER</t>
        </is>
      </c>
    </row>
    <row r="44" ht="13" customHeight="1">
      <c r="A44" s="1" t="inlineStr">
        <is>
          <t>BKK27</t>
        </is>
      </c>
      <c r="B44" s="1" t="inlineStr">
        <is>
          <t>22RE</t>
        </is>
      </c>
      <c r="C44" s="1" t="inlineStr">
        <is>
          <t>IER</t>
        </is>
      </c>
    </row>
    <row r="45" ht="13" customHeight="1">
      <c r="A45" s="1" t="inlineStr">
        <is>
          <t>LCH27</t>
        </is>
      </c>
      <c r="B45" s="1" t="inlineStr">
        <is>
          <t>22RE</t>
        </is>
      </c>
      <c r="C45" s="1" t="inlineStr">
        <is>
          <t>IER</t>
        </is>
      </c>
    </row>
    <row r="46" ht="13" customHeight="1">
      <c r="A46" s="1" t="inlineStr">
        <is>
          <t>LCH27</t>
        </is>
      </c>
      <c r="B46" s="1" t="inlineStr">
        <is>
          <t>22RE</t>
        </is>
      </c>
      <c r="C46" s="1" t="inlineStr">
        <is>
          <t>IER</t>
        </is>
      </c>
    </row>
    <row r="47" ht="13" customHeight="1">
      <c r="A47" s="1" t="inlineStr">
        <is>
          <t>LCH27</t>
        </is>
      </c>
      <c r="B47" s="1" t="inlineStr">
        <is>
          <t>22RE</t>
        </is>
      </c>
      <c r="C47" s="1" t="inlineStr">
        <is>
          <t>IER</t>
        </is>
      </c>
    </row>
    <row r="48" ht="13" customHeight="1">
      <c r="A48" s="1" t="inlineStr">
        <is>
          <t>BKK27</t>
        </is>
      </c>
      <c r="B48" s="1" t="inlineStr">
        <is>
          <t>22RE</t>
        </is>
      </c>
      <c r="C48" s="1" t="inlineStr">
        <is>
          <t>IER</t>
        </is>
      </c>
    </row>
    <row r="49" ht="13" customHeight="1">
      <c r="A49" s="1" t="inlineStr">
        <is>
          <t>BKK27</t>
        </is>
      </c>
      <c r="B49" s="1" t="inlineStr">
        <is>
          <t>45RE</t>
        </is>
      </c>
      <c r="C49" s="1" t="inlineStr">
        <is>
          <t>IER</t>
        </is>
      </c>
    </row>
    <row r="50" ht="13" customHeight="1">
      <c r="A50" s="1" t="inlineStr">
        <is>
          <t>BKK27</t>
        </is>
      </c>
      <c r="B50" s="1" t="inlineStr">
        <is>
          <t>45RE</t>
        </is>
      </c>
      <c r="C50" s="1" t="inlineStr">
        <is>
          <t>IER</t>
        </is>
      </c>
    </row>
    <row r="51" ht="13" customHeight="1">
      <c r="A51" s="1" t="inlineStr">
        <is>
          <t>BKK27</t>
        </is>
      </c>
      <c r="B51" s="1" t="inlineStr">
        <is>
          <t>22RE</t>
        </is>
      </c>
      <c r="C51" s="1" t="inlineStr">
        <is>
          <t>IER</t>
        </is>
      </c>
    </row>
    <row r="52" ht="13" customHeight="1">
      <c r="A52" s="1" t="inlineStr">
        <is>
          <t>BKK27</t>
        </is>
      </c>
      <c r="B52" s="1" t="inlineStr">
        <is>
          <t>22RE</t>
        </is>
      </c>
      <c r="C52" s="1" t="inlineStr">
        <is>
          <t>IER</t>
        </is>
      </c>
    </row>
    <row r="53" ht="13" customHeight="1">
      <c r="A53" s="1" t="inlineStr">
        <is>
          <t>LCH27</t>
        </is>
      </c>
      <c r="B53" s="1" t="inlineStr">
        <is>
          <t>45RE</t>
        </is>
      </c>
      <c r="C53" s="1" t="inlineStr">
        <is>
          <t>IER</t>
        </is>
      </c>
    </row>
    <row r="54" ht="13" customHeight="1">
      <c r="A54" s="1" t="inlineStr">
        <is>
          <t>BKK27</t>
        </is>
      </c>
      <c r="B54" s="1" t="inlineStr">
        <is>
          <t>22RE</t>
        </is>
      </c>
      <c r="C54" s="1" t="inlineStr">
        <is>
          <t>IER</t>
        </is>
      </c>
    </row>
    <row r="55" ht="13" customHeight="1">
      <c r="A55" s="1" t="inlineStr">
        <is>
          <t>LCH27</t>
        </is>
      </c>
      <c r="B55" s="1" t="inlineStr">
        <is>
          <t>45RE</t>
        </is>
      </c>
      <c r="C55" s="1" t="inlineStr">
        <is>
          <t>OER</t>
        </is>
      </c>
    </row>
    <row r="56" ht="13" customHeight="1">
      <c r="A56" s="1" t="inlineStr">
        <is>
          <t>LCH27</t>
        </is>
      </c>
      <c r="B56" s="1" t="inlineStr">
        <is>
          <t>45RE</t>
        </is>
      </c>
      <c r="C56" s="1" t="inlineStr">
        <is>
          <t>OER</t>
        </is>
      </c>
    </row>
    <row r="57" ht="13" customHeight="1">
      <c r="A57" s="1" t="inlineStr">
        <is>
          <t>BKK27</t>
        </is>
      </c>
      <c r="B57" s="1" t="inlineStr">
        <is>
          <t>45RE</t>
        </is>
      </c>
      <c r="C57" s="1" t="inlineStr">
        <is>
          <t>IER</t>
        </is>
      </c>
    </row>
    <row r="58" ht="13" customHeight="1">
      <c r="A58" s="1" t="inlineStr">
        <is>
          <t>BKK27</t>
        </is>
      </c>
      <c r="B58" s="1" t="inlineStr">
        <is>
          <t>22RE</t>
        </is>
      </c>
      <c r="C58" s="1" t="inlineStr">
        <is>
          <t>OER</t>
        </is>
      </c>
    </row>
    <row r="59" ht="13" customHeight="1">
      <c r="A59" s="1" t="inlineStr">
        <is>
          <t>BKK27</t>
        </is>
      </c>
      <c r="B59" s="1" t="inlineStr">
        <is>
          <t>22RE</t>
        </is>
      </c>
      <c r="C59" s="1" t="inlineStr">
        <is>
          <t>OER</t>
        </is>
      </c>
    </row>
    <row r="60" ht="13" customHeight="1">
      <c r="A60" s="1" t="inlineStr">
        <is>
          <t>BKK27</t>
        </is>
      </c>
      <c r="B60" s="1" t="inlineStr">
        <is>
          <t>45RE</t>
        </is>
      </c>
      <c r="C60" s="1" t="inlineStr">
        <is>
          <t>OER</t>
        </is>
      </c>
    </row>
    <row r="61" ht="13" customHeight="1">
      <c r="A61" s="1" t="inlineStr">
        <is>
          <t>BKK27</t>
        </is>
      </c>
      <c r="B61" s="1" t="inlineStr">
        <is>
          <t>45RE</t>
        </is>
      </c>
      <c r="C61" s="1" t="inlineStr">
        <is>
          <t>IED</t>
        </is>
      </c>
    </row>
    <row r="62" ht="13" customHeight="1">
      <c r="A62" s="1" t="inlineStr">
        <is>
          <t>BKK27</t>
        </is>
      </c>
      <c r="B62" s="1" t="inlineStr">
        <is>
          <t>22RE</t>
        </is>
      </c>
      <c r="C62" s="1" t="inlineStr">
        <is>
          <t>IED</t>
        </is>
      </c>
    </row>
    <row r="63" ht="13" customHeight="1">
      <c r="A63" s="1" t="inlineStr">
        <is>
          <t>BKK27</t>
        </is>
      </c>
      <c r="B63" s="1" t="inlineStr">
        <is>
          <t>22RE</t>
        </is>
      </c>
      <c r="C63" s="1" t="inlineStr">
        <is>
          <t>IED</t>
        </is>
      </c>
    </row>
    <row r="64" ht="13" customHeight="1">
      <c r="A64" s="1" t="inlineStr">
        <is>
          <t>BKK27</t>
        </is>
      </c>
      <c r="B64" s="1" t="inlineStr">
        <is>
          <t>45RE</t>
        </is>
      </c>
      <c r="C64" s="1" t="inlineStr">
        <is>
          <t>OER</t>
        </is>
      </c>
    </row>
    <row r="65" ht="13" customHeight="1">
      <c r="A65" s="1" t="inlineStr">
        <is>
          <t>BKK27</t>
        </is>
      </c>
      <c r="B65" s="1" t="inlineStr">
        <is>
          <t>45RE</t>
        </is>
      </c>
      <c r="C65" s="1" t="inlineStr">
        <is>
          <t>IED</t>
        </is>
      </c>
    </row>
    <row r="66" ht="13" customHeight="1">
      <c r="A66" s="1" t="inlineStr">
        <is>
          <t>BKK27</t>
        </is>
      </c>
      <c r="B66" s="1" t="inlineStr">
        <is>
          <t>45RE</t>
        </is>
      </c>
      <c r="C66" s="1" t="inlineStr">
        <is>
          <t>OER</t>
        </is>
      </c>
    </row>
    <row r="67" ht="13" customHeight="1">
      <c r="A67" s="1" t="inlineStr">
        <is>
          <t>LCH27</t>
        </is>
      </c>
      <c r="B67" s="1" t="inlineStr">
        <is>
          <t>45RE</t>
        </is>
      </c>
      <c r="C67" s="1" t="inlineStr">
        <is>
          <t>IER</t>
        </is>
      </c>
    </row>
    <row r="68" ht="13" customHeight="1">
      <c r="A68" s="1" t="inlineStr">
        <is>
          <t>LCH27</t>
        </is>
      </c>
      <c r="B68" s="1" t="inlineStr">
        <is>
          <t>45RE</t>
        </is>
      </c>
      <c r="C68" s="1" t="inlineStr">
        <is>
          <t>OER</t>
        </is>
      </c>
    </row>
    <row r="69" ht="13" customHeight="1">
      <c r="A69" s="1" t="inlineStr">
        <is>
          <t>BKK27</t>
        </is>
      </c>
      <c r="B69" s="1" t="inlineStr">
        <is>
          <t>22RE</t>
        </is>
      </c>
      <c r="C69" s="1" t="inlineStr">
        <is>
          <t>OER</t>
        </is>
      </c>
    </row>
    <row r="70" ht="13" customHeight="1">
      <c r="A70" s="1" t="inlineStr">
        <is>
          <t>LCH27</t>
        </is>
      </c>
      <c r="B70" s="1" t="inlineStr">
        <is>
          <t>45RE</t>
        </is>
      </c>
      <c r="C70" s="1" t="inlineStr">
        <is>
          <t>OER</t>
        </is>
      </c>
    </row>
    <row r="71" ht="13" customHeight="1">
      <c r="A71" s="1" t="inlineStr">
        <is>
          <t>LCH27</t>
        </is>
      </c>
      <c r="B71" s="1" t="inlineStr">
        <is>
          <t>22RE</t>
        </is>
      </c>
      <c r="C71" s="1" t="inlineStr">
        <is>
          <t>OER</t>
        </is>
      </c>
    </row>
    <row r="72" ht="13" customHeight="1">
      <c r="A72" s="1" t="inlineStr">
        <is>
          <t>LCH27</t>
        </is>
      </c>
      <c r="B72" s="1" t="inlineStr">
        <is>
          <t>45RE</t>
        </is>
      </c>
      <c r="C72" s="1" t="inlineStr">
        <is>
          <t>OER</t>
        </is>
      </c>
    </row>
    <row r="73" ht="13" customHeight="1">
      <c r="A73" s="1" t="inlineStr">
        <is>
          <t>LCH27</t>
        </is>
      </c>
      <c r="B73" s="1" t="inlineStr">
        <is>
          <t>45RE</t>
        </is>
      </c>
      <c r="C73" s="1" t="inlineStr">
        <is>
          <t>IER</t>
        </is>
      </c>
    </row>
    <row r="74" ht="13" customHeight="1">
      <c r="A74" s="1" t="inlineStr">
        <is>
          <t>LCH27</t>
        </is>
      </c>
      <c r="B74" s="1" t="inlineStr">
        <is>
          <t>45RE</t>
        </is>
      </c>
      <c r="C74" s="1" t="inlineStr">
        <is>
          <t>OER</t>
        </is>
      </c>
    </row>
    <row r="75" ht="13" customHeight="1">
      <c r="A75" s="1" t="inlineStr">
        <is>
          <t>LCH27</t>
        </is>
      </c>
      <c r="B75" s="1" t="inlineStr">
        <is>
          <t>45RE</t>
        </is>
      </c>
      <c r="C75" s="1" t="inlineStr">
        <is>
          <t>IER</t>
        </is>
      </c>
    </row>
    <row r="76" ht="13" customHeight="1">
      <c r="A76" s="1" t="inlineStr">
        <is>
          <t>LCH27</t>
        </is>
      </c>
      <c r="B76" s="1" t="inlineStr">
        <is>
          <t>45RE</t>
        </is>
      </c>
      <c r="C76" s="1" t="inlineStr">
        <is>
          <t>IER</t>
        </is>
      </c>
    </row>
    <row r="77" ht="13" customHeight="1">
      <c r="A77" s="1" t="inlineStr">
        <is>
          <t>BKK27</t>
        </is>
      </c>
      <c r="B77" s="1" t="inlineStr">
        <is>
          <t>45RE</t>
        </is>
      </c>
      <c r="C77" s="1" t="inlineStr">
        <is>
          <t>IER</t>
        </is>
      </c>
    </row>
    <row r="78" ht="13" customHeight="1">
      <c r="A78" s="1" t="inlineStr">
        <is>
          <t>LCH27</t>
        </is>
      </c>
      <c r="B78" s="1" t="inlineStr">
        <is>
          <t>45RE</t>
        </is>
      </c>
      <c r="C78" s="1" t="inlineStr">
        <is>
          <t>IER</t>
        </is>
      </c>
    </row>
    <row r="79" ht="13" customHeight="1">
      <c r="A79" s="1" t="inlineStr">
        <is>
          <t>LCH27</t>
        </is>
      </c>
      <c r="B79" s="1" t="inlineStr">
        <is>
          <t>45RE</t>
        </is>
      </c>
      <c r="C79" s="1" t="inlineStr">
        <is>
          <t>IER</t>
        </is>
      </c>
    </row>
    <row r="80" ht="13" customHeight="1">
      <c r="A80" s="1" t="inlineStr">
        <is>
          <t>BKK27</t>
        </is>
      </c>
      <c r="B80" s="1" t="inlineStr">
        <is>
          <t>45RE</t>
        </is>
      </c>
      <c r="C80" s="1" t="inlineStr">
        <is>
          <t>OER</t>
        </is>
      </c>
    </row>
    <row r="81" ht="13" customHeight="1">
      <c r="A81" s="1" t="inlineStr">
        <is>
          <t>LCH27</t>
        </is>
      </c>
      <c r="B81" s="1" t="inlineStr">
        <is>
          <t>45RE</t>
        </is>
      </c>
      <c r="C81" s="1" t="inlineStr">
        <is>
          <t>OER</t>
        </is>
      </c>
    </row>
    <row r="82" ht="13" customHeight="1">
      <c r="A82" s="1" t="inlineStr">
        <is>
          <t>LCH27</t>
        </is>
      </c>
      <c r="B82" s="1" t="inlineStr">
        <is>
          <t>45RE</t>
        </is>
      </c>
      <c r="C82" s="1" t="inlineStr">
        <is>
          <t>OER</t>
        </is>
      </c>
    </row>
    <row r="83" ht="13" customHeight="1">
      <c r="A83" s="1" t="inlineStr">
        <is>
          <t>LCH27</t>
        </is>
      </c>
      <c r="B83" s="1" t="inlineStr">
        <is>
          <t>45RE</t>
        </is>
      </c>
      <c r="C83" s="1" t="inlineStr">
        <is>
          <t>IER</t>
        </is>
      </c>
    </row>
    <row r="84" ht="13" customHeight="1">
      <c r="A84" s="1" t="inlineStr">
        <is>
          <t>LCH27</t>
        </is>
      </c>
      <c r="B84" s="1" t="inlineStr">
        <is>
          <t>45RE</t>
        </is>
      </c>
      <c r="C84" s="1" t="inlineStr">
        <is>
          <t>IER</t>
        </is>
      </c>
    </row>
    <row r="85" ht="13" customHeight="1">
      <c r="A85" s="1" t="inlineStr">
        <is>
          <t>BKK27</t>
        </is>
      </c>
      <c r="B85" s="1" t="inlineStr">
        <is>
          <t>45RE</t>
        </is>
      </c>
      <c r="C85" s="1" t="inlineStr">
        <is>
          <t>IER</t>
        </is>
      </c>
    </row>
    <row r="86" ht="13" customHeight="1">
      <c r="A86" s="1" t="inlineStr">
        <is>
          <t>LCH27</t>
        </is>
      </c>
      <c r="B86" s="1" t="inlineStr">
        <is>
          <t>45RE</t>
        </is>
      </c>
      <c r="C86" s="1" t="inlineStr">
        <is>
          <t>IER</t>
        </is>
      </c>
    </row>
    <row r="87" ht="13" customHeight="1">
      <c r="A87" s="1" t="inlineStr">
        <is>
          <t>LCH27</t>
        </is>
      </c>
      <c r="B87" s="1" t="inlineStr">
        <is>
          <t>45RE</t>
        </is>
      </c>
      <c r="C87" s="1" t="inlineStr">
        <is>
          <t>OER</t>
        </is>
      </c>
    </row>
    <row r="88" ht="13" customHeight="1">
      <c r="A88" s="1" t="inlineStr">
        <is>
          <t>LCH27</t>
        </is>
      </c>
      <c r="B88" s="1" t="inlineStr">
        <is>
          <t>45RE</t>
        </is>
      </c>
      <c r="C88" s="1" t="inlineStr">
        <is>
          <t>IER</t>
        </is>
      </c>
    </row>
    <row r="89" ht="13" customHeight="1">
      <c r="A89" s="1" t="inlineStr">
        <is>
          <t>LCH27</t>
        </is>
      </c>
      <c r="B89" s="1" t="inlineStr">
        <is>
          <t>45RE</t>
        </is>
      </c>
      <c r="C89" s="1" t="inlineStr">
        <is>
          <t>IER</t>
        </is>
      </c>
    </row>
    <row r="90" ht="13" customHeight="1">
      <c r="A90" s="1" t="inlineStr">
        <is>
          <t>LCH27</t>
        </is>
      </c>
      <c r="B90" s="1" t="inlineStr">
        <is>
          <t>45RE</t>
        </is>
      </c>
      <c r="C90" s="1" t="inlineStr">
        <is>
          <t>OER</t>
        </is>
      </c>
    </row>
    <row r="91" ht="13" customHeight="1">
      <c r="A91" s="1" t="inlineStr">
        <is>
          <t>BKK27</t>
        </is>
      </c>
      <c r="B91" s="1" t="inlineStr">
        <is>
          <t>45RE</t>
        </is>
      </c>
      <c r="C91" s="1" t="inlineStr">
        <is>
          <t>IER</t>
        </is>
      </c>
    </row>
    <row r="92" ht="13" customHeight="1">
      <c r="A92" s="1" t="inlineStr">
        <is>
          <t>BKK27</t>
        </is>
      </c>
      <c r="B92" s="1" t="inlineStr">
        <is>
          <t>45RE</t>
        </is>
      </c>
      <c r="C92" s="1" t="inlineStr">
        <is>
          <t>IER</t>
        </is>
      </c>
    </row>
    <row r="93" ht="13" customHeight="1">
      <c r="A93" s="1" t="inlineStr">
        <is>
          <t>LCH27</t>
        </is>
      </c>
      <c r="B93" s="1" t="inlineStr">
        <is>
          <t>45RE</t>
        </is>
      </c>
      <c r="C93" s="1" t="inlineStr">
        <is>
          <t>OER</t>
        </is>
      </c>
    </row>
    <row r="94" ht="13" customHeight="1">
      <c r="A94" s="1" t="inlineStr">
        <is>
          <t>LCH27</t>
        </is>
      </c>
      <c r="B94" s="1" t="inlineStr">
        <is>
          <t>45RE</t>
        </is>
      </c>
      <c r="C94" s="1" t="inlineStr">
        <is>
          <t>OER</t>
        </is>
      </c>
    </row>
    <row r="95" ht="13" customHeight="1">
      <c r="A95" s="1" t="inlineStr">
        <is>
          <t>LCH27</t>
        </is>
      </c>
      <c r="B95" s="1" t="inlineStr">
        <is>
          <t>45RE</t>
        </is>
      </c>
      <c r="C95" s="1" t="inlineStr">
        <is>
          <t>OER</t>
        </is>
      </c>
    </row>
    <row r="96" ht="13" customHeight="1">
      <c r="A96" s="1" t="inlineStr">
        <is>
          <t>LCH27</t>
        </is>
      </c>
      <c r="B96" s="1" t="inlineStr">
        <is>
          <t>45RE</t>
        </is>
      </c>
      <c r="C96" s="1" t="inlineStr">
        <is>
          <t>IER</t>
        </is>
      </c>
    </row>
    <row r="97" ht="13" customHeight="1">
      <c r="A97" s="1" t="inlineStr">
        <is>
          <t>BKK27</t>
        </is>
      </c>
      <c r="B97" s="1" t="inlineStr">
        <is>
          <t>45RE</t>
        </is>
      </c>
      <c r="C97" s="1" t="inlineStr">
        <is>
          <t>IER</t>
        </is>
      </c>
    </row>
    <row r="98" ht="13" customHeight="1">
      <c r="A98" s="1" t="inlineStr">
        <is>
          <t>BKK27</t>
        </is>
      </c>
      <c r="B98" s="1" t="inlineStr">
        <is>
          <t>45RE</t>
        </is>
      </c>
      <c r="C98" s="1" t="inlineStr">
        <is>
          <t>IER</t>
        </is>
      </c>
    </row>
    <row r="99" ht="13" customHeight="1">
      <c r="A99" s="1" t="inlineStr">
        <is>
          <t>BKK27</t>
        </is>
      </c>
      <c r="B99" s="1" t="inlineStr">
        <is>
          <t>45RE</t>
        </is>
      </c>
      <c r="C99" s="1" t="inlineStr">
        <is>
          <t>IER</t>
        </is>
      </c>
    </row>
    <row r="100" ht="13" customHeight="1">
      <c r="A100" s="1" t="inlineStr">
        <is>
          <t>BKK27</t>
        </is>
      </c>
      <c r="B100" s="1" t="inlineStr">
        <is>
          <t>45RE</t>
        </is>
      </c>
      <c r="C100" s="1" t="inlineStr">
        <is>
          <t>IER</t>
        </is>
      </c>
    </row>
    <row r="101" ht="13" customHeight="1">
      <c r="A101" s="1" t="inlineStr">
        <is>
          <t>BKK27</t>
        </is>
      </c>
      <c r="B101" s="1" t="inlineStr">
        <is>
          <t>45RE</t>
        </is>
      </c>
      <c r="C101" s="1" t="inlineStr">
        <is>
          <t>IER</t>
        </is>
      </c>
    </row>
    <row r="102" ht="13" customHeight="1">
      <c r="A102" s="1" t="inlineStr">
        <is>
          <t>BKK27</t>
        </is>
      </c>
      <c r="B102" s="1" t="inlineStr">
        <is>
          <t>45RE</t>
        </is>
      </c>
      <c r="C102" s="1" t="inlineStr">
        <is>
          <t>IER</t>
        </is>
      </c>
    </row>
    <row r="103" ht="13" customHeight="1">
      <c r="A103" s="1" t="inlineStr">
        <is>
          <t>BKK27</t>
        </is>
      </c>
      <c r="B103" s="1" t="inlineStr">
        <is>
          <t>22RE</t>
        </is>
      </c>
      <c r="C103" s="1" t="inlineStr">
        <is>
          <t>IER</t>
        </is>
      </c>
    </row>
    <row r="104" ht="13" customHeight="1">
      <c r="A104" s="1" t="inlineStr">
        <is>
          <t>BKK27</t>
        </is>
      </c>
      <c r="B104" s="1" t="inlineStr">
        <is>
          <t>45RE</t>
        </is>
      </c>
      <c r="C104" s="1" t="inlineStr">
        <is>
          <t>IER</t>
        </is>
      </c>
    </row>
    <row r="105" ht="13" customHeight="1">
      <c r="A105" s="1" t="inlineStr">
        <is>
          <t>BKK27</t>
        </is>
      </c>
      <c r="B105" s="1" t="inlineStr">
        <is>
          <t>45RE</t>
        </is>
      </c>
      <c r="C105" s="1" t="inlineStr">
        <is>
          <t>IER</t>
        </is>
      </c>
    </row>
    <row r="106" ht="13" customHeight="1">
      <c r="A106" s="1" t="inlineStr">
        <is>
          <t>BKK27</t>
        </is>
      </c>
      <c r="B106" s="1" t="inlineStr">
        <is>
          <t>45RE</t>
        </is>
      </c>
      <c r="C106" s="1" t="inlineStr">
        <is>
          <t>IER</t>
        </is>
      </c>
    </row>
    <row r="107" ht="13" customHeight="1">
      <c r="A107" s="1" t="inlineStr">
        <is>
          <t>BKK27</t>
        </is>
      </c>
      <c r="B107" s="1" t="inlineStr">
        <is>
          <t>45RE</t>
        </is>
      </c>
      <c r="C107" s="1" t="inlineStr">
        <is>
          <t>IER</t>
        </is>
      </c>
    </row>
    <row r="108" ht="13" customHeight="1">
      <c r="A108" s="1" t="inlineStr">
        <is>
          <t>BKK27</t>
        </is>
      </c>
      <c r="B108" s="1" t="inlineStr">
        <is>
          <t>22RE</t>
        </is>
      </c>
      <c r="C108" s="1" t="inlineStr">
        <is>
          <t>OER</t>
        </is>
      </c>
    </row>
    <row r="109" ht="13" customHeight="1">
      <c r="A109" s="1" t="inlineStr">
        <is>
          <t>LCH27</t>
        </is>
      </c>
      <c r="B109" s="1" t="inlineStr">
        <is>
          <t>45RE</t>
        </is>
      </c>
      <c r="C109" s="1" t="inlineStr">
        <is>
          <t>OER</t>
        </is>
      </c>
    </row>
    <row r="110" ht="13" customHeight="1">
      <c r="A110" s="1" t="inlineStr">
        <is>
          <t>LCH27</t>
        </is>
      </c>
      <c r="B110" s="1" t="inlineStr">
        <is>
          <t>45RE</t>
        </is>
      </c>
      <c r="C110" s="1" t="inlineStr">
        <is>
          <t>OER</t>
        </is>
      </c>
    </row>
    <row r="111" ht="13" customHeight="1">
      <c r="A111" s="1" t="inlineStr">
        <is>
          <t>LCH27</t>
        </is>
      </c>
      <c r="B111" s="1" t="inlineStr">
        <is>
          <t>45RE</t>
        </is>
      </c>
      <c r="C111" s="1" t="inlineStr">
        <is>
          <t>OER</t>
        </is>
      </c>
    </row>
    <row r="112" ht="13" customHeight="1">
      <c r="A112" s="1" t="inlineStr">
        <is>
          <t>LCH27</t>
        </is>
      </c>
      <c r="B112" s="1" t="inlineStr">
        <is>
          <t>45RE</t>
        </is>
      </c>
      <c r="C112" s="1" t="inlineStr">
        <is>
          <t>IER</t>
        </is>
      </c>
    </row>
    <row r="113" ht="13" customHeight="1">
      <c r="A113" s="1" t="inlineStr">
        <is>
          <t>LCH27</t>
        </is>
      </c>
      <c r="B113" s="1" t="inlineStr">
        <is>
          <t>45RE</t>
        </is>
      </c>
      <c r="C113" s="1" t="inlineStr">
        <is>
          <t>IER</t>
        </is>
      </c>
    </row>
    <row r="114" ht="13" customHeight="1">
      <c r="A114" s="1" t="inlineStr">
        <is>
          <t>LCH27</t>
        </is>
      </c>
      <c r="B114" s="1" t="inlineStr">
        <is>
          <t>45RE</t>
        </is>
      </c>
      <c r="C114" s="1" t="inlineStr">
        <is>
          <t>OER</t>
        </is>
      </c>
    </row>
    <row r="115" ht="13" customHeight="1">
      <c r="A115" s="1" t="inlineStr">
        <is>
          <t>LCH27</t>
        </is>
      </c>
      <c r="B115" s="1" t="inlineStr">
        <is>
          <t>45RE</t>
        </is>
      </c>
      <c r="C115" s="1" t="inlineStr">
        <is>
          <t>OER</t>
        </is>
      </c>
    </row>
    <row r="116" ht="13" customHeight="1">
      <c r="A116" s="1" t="inlineStr">
        <is>
          <t>LCH27</t>
        </is>
      </c>
      <c r="B116" s="1" t="inlineStr">
        <is>
          <t>45RE</t>
        </is>
      </c>
      <c r="C116" s="1" t="inlineStr">
        <is>
          <t>IER</t>
        </is>
      </c>
    </row>
    <row r="117" ht="13" customHeight="1">
      <c r="A117" s="1" t="inlineStr">
        <is>
          <t>LCH27</t>
        </is>
      </c>
      <c r="B117" s="1" t="inlineStr">
        <is>
          <t>45RE</t>
        </is>
      </c>
      <c r="C117" s="1" t="inlineStr">
        <is>
          <t>OER</t>
        </is>
      </c>
    </row>
    <row r="118" ht="13" customHeight="1">
      <c r="A118" s="1" t="inlineStr">
        <is>
          <t>LCH27</t>
        </is>
      </c>
      <c r="B118" s="1" t="inlineStr">
        <is>
          <t>45RE</t>
        </is>
      </c>
      <c r="C118" s="1" t="inlineStr">
        <is>
          <t>OER</t>
        </is>
      </c>
    </row>
    <row r="119" ht="13" customHeight="1">
      <c r="A119" s="1" t="inlineStr">
        <is>
          <t>LCH27</t>
        </is>
      </c>
      <c r="B119" s="1" t="inlineStr">
        <is>
          <t>45RE</t>
        </is>
      </c>
      <c r="C119" s="1" t="inlineStr">
        <is>
          <t>OER</t>
        </is>
      </c>
    </row>
    <row r="120" ht="13" customHeight="1">
      <c r="A120" s="1" t="inlineStr">
        <is>
          <t>LCH27</t>
        </is>
      </c>
      <c r="B120" s="1" t="inlineStr">
        <is>
          <t>45RE</t>
        </is>
      </c>
      <c r="C120" s="1" t="inlineStr">
        <is>
          <t>OER</t>
        </is>
      </c>
    </row>
    <row r="121" ht="13" customHeight="1">
      <c r="A121" s="1" t="inlineStr">
        <is>
          <t>BKK27</t>
        </is>
      </c>
      <c r="B121" s="1" t="inlineStr">
        <is>
          <t>45RE</t>
        </is>
      </c>
      <c r="C121" s="1" t="inlineStr">
        <is>
          <t>OER</t>
        </is>
      </c>
    </row>
    <row r="122" ht="13" customHeight="1">
      <c r="A122" s="1" t="inlineStr">
        <is>
          <t>BKK27</t>
        </is>
      </c>
      <c r="B122" s="1" t="inlineStr">
        <is>
          <t>22RE</t>
        </is>
      </c>
      <c r="C122" s="1" t="inlineStr">
        <is>
          <t>OER</t>
        </is>
      </c>
    </row>
    <row r="123" ht="13" customHeight="1">
      <c r="A123" s="1" t="inlineStr">
        <is>
          <t>LCH27</t>
        </is>
      </c>
      <c r="B123" s="1" t="inlineStr">
        <is>
          <t>45RE</t>
        </is>
      </c>
      <c r="C123" s="1" t="inlineStr">
        <is>
          <t>IED</t>
        </is>
      </c>
    </row>
    <row r="124" ht="13" customHeight="1">
      <c r="A124" s="1" t="inlineStr">
        <is>
          <t>LCH27</t>
        </is>
      </c>
      <c r="B124" s="1" t="inlineStr">
        <is>
          <t>45RE</t>
        </is>
      </c>
      <c r="C124" s="1" t="inlineStr">
        <is>
          <t>OER</t>
        </is>
      </c>
    </row>
    <row r="125" ht="13" customHeight="1">
      <c r="A125" s="1" t="inlineStr">
        <is>
          <t>LCH27</t>
        </is>
      </c>
      <c r="B125" s="1" t="inlineStr">
        <is>
          <t>45RE</t>
        </is>
      </c>
      <c r="C125" s="1" t="inlineStr">
        <is>
          <t>OER</t>
        </is>
      </c>
    </row>
    <row r="126" ht="13" customHeight="1">
      <c r="A126" s="1" t="inlineStr">
        <is>
          <t>LCH27</t>
        </is>
      </c>
      <c r="B126" s="1" t="inlineStr">
        <is>
          <t>45RE</t>
        </is>
      </c>
      <c r="C126" s="1" t="inlineStr">
        <is>
          <t>IED</t>
        </is>
      </c>
    </row>
    <row r="127" ht="13" customHeight="1">
      <c r="A127" s="1" t="inlineStr">
        <is>
          <t>LCH27</t>
        </is>
      </c>
      <c r="B127" s="1" t="inlineStr">
        <is>
          <t>45RE</t>
        </is>
      </c>
      <c r="C127" s="1" t="inlineStr">
        <is>
          <t>IED</t>
        </is>
      </c>
    </row>
    <row r="128" ht="13" customHeight="1">
      <c r="A128" s="1" t="inlineStr">
        <is>
          <t>BKK27</t>
        </is>
      </c>
      <c r="B128" s="1" t="inlineStr">
        <is>
          <t>45RE</t>
        </is>
      </c>
      <c r="C128" s="1" t="inlineStr">
        <is>
          <t>OER</t>
        </is>
      </c>
    </row>
    <row r="129" ht="13" customHeight="1">
      <c r="A129" s="1" t="inlineStr">
        <is>
          <t>BKK27</t>
        </is>
      </c>
      <c r="B129" s="1" t="inlineStr">
        <is>
          <t>22RE</t>
        </is>
      </c>
      <c r="C129" s="1" t="inlineStr">
        <is>
          <t>IED</t>
        </is>
      </c>
    </row>
    <row r="130" ht="13" customHeight="1">
      <c r="A130" s="1" t="inlineStr">
        <is>
          <t>BKK27</t>
        </is>
      </c>
      <c r="B130" s="1" t="inlineStr">
        <is>
          <t>22RE</t>
        </is>
      </c>
      <c r="C130" s="1" t="inlineStr">
        <is>
          <t>OER</t>
        </is>
      </c>
    </row>
    <row r="131" ht="13" customHeight="1">
      <c r="A131" s="1" t="inlineStr">
        <is>
          <t>BKK27</t>
        </is>
      </c>
      <c r="B131" s="1" t="inlineStr">
        <is>
          <t>45RE</t>
        </is>
      </c>
      <c r="C131" s="1" t="inlineStr">
        <is>
          <t>OER</t>
        </is>
      </c>
    </row>
    <row r="132" ht="13" customHeight="1">
      <c r="A132" s="1" t="inlineStr">
        <is>
          <t>BKK27</t>
        </is>
      </c>
      <c r="B132" s="1" t="inlineStr">
        <is>
          <t>45RE</t>
        </is>
      </c>
      <c r="C132" s="1" t="inlineStr">
        <is>
          <t>IED</t>
        </is>
      </c>
    </row>
    <row r="133" ht="13" customHeight="1">
      <c r="A133" s="1" t="inlineStr">
        <is>
          <t>BKK27</t>
        </is>
      </c>
      <c r="B133" s="1" t="inlineStr">
        <is>
          <t>45RE</t>
        </is>
      </c>
      <c r="C133" s="1" t="inlineStr">
        <is>
          <t>OER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5"/>
  <sheetViews>
    <sheetView showGridLines="0" tabSelected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71428571428571" customWidth="1" min="1" max="1"/>
    <col width="23.57142857142857" customWidth="1" min="2" max="2"/>
    <col width="8.714285714285714" customWidth="1" min="3" max="3"/>
    <col width="8.714285714285714" customWidth="1" min="4" max="4"/>
    <col width="8.714285714285714" customWidth="1" min="5" max="5"/>
    <col width="8.714285714285714" customWidth="1" min="6" max="6"/>
    <col width="4.571428571428571" customWidth="1" min="7" max="7"/>
    <col width="23.57142857142857" customWidth="1" min="8" max="8"/>
    <col width="8.714285714285714" customWidth="1" min="9" max="9"/>
    <col width="8.714285714285714" customWidth="1" min="10" max="10"/>
    <col width="8.714285714285714" customWidth="1" min="11" max="11"/>
    <col width="8.714285714285714" customWidth="1" min="12" max="12"/>
    <col width="8.714285714285714" customWidth="1" min="13" max="13"/>
    <col width="8.714285714285714" customWidth="1" min="14" max="14"/>
    <col width="8.714285714285714" customWidth="1" min="15" max="15"/>
    <col width="8.714285714285714" customWidth="1" min="16" max="16"/>
    <col width="8.714285714285714" customWidth="1" min="17" max="17"/>
  </cols>
  <sheetData>
    <row r="1" ht="20.1" customHeight="1">
      <c r="A1" s="3">
        <f>"Stock vs Booking Report - Reefer (20'RE / 40'RH)  as of "&amp;DAY(Control!$B$1)&amp;" "&amp;CHOOSE(MONTH(Control!$B$1),"JAN","FEB","MAR","APR","MAY","JUN","JUL","AUG","SEP","OCT","NOV","DEC")&amp;" "&amp;YEAR(Control!$B$1)</f>
        <v/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8" t="n"/>
      <c r="L1" s="1" t="n"/>
      <c r="M1" s="1" t="n"/>
      <c r="N1" s="1" t="n"/>
      <c r="O1" s="1" t="n"/>
    </row>
    <row r="2" ht="13" customHeight="1">
      <c r="A2" s="1" t="n"/>
      <c r="B2" s="4" t="n"/>
      <c r="C2" s="4" t="n"/>
      <c r="D2" s="4" t="n"/>
      <c r="E2" s="1" t="n"/>
      <c r="F2" s="1" t="n"/>
      <c r="G2" s="1" t="n"/>
      <c r="H2" s="4" t="n"/>
      <c r="I2" s="4" t="n"/>
      <c r="J2" s="4" t="n"/>
      <c r="K2" s="1" t="n"/>
      <c r="L2" s="1" t="n"/>
      <c r="M2" s="1" t="n"/>
      <c r="N2" s="1" t="n"/>
      <c r="O2" s="1" t="n"/>
    </row>
    <row r="3" ht="13" customHeight="1">
      <c r="A3" s="1" t="n"/>
      <c r="B3" s="5" t="inlineStr">
        <is>
          <t>BKK27 / BC2</t>
        </is>
      </c>
      <c r="C3" s="57" t="n"/>
      <c r="D3" s="58" t="n"/>
      <c r="E3" s="1" t="n"/>
      <c r="F3" s="1" t="n"/>
      <c r="G3" s="1" t="n"/>
      <c r="H3" s="5" t="inlineStr">
        <is>
          <t>LCH27 / HAST</t>
        </is>
      </c>
      <c r="I3" s="57" t="n"/>
      <c r="J3" s="58" t="n"/>
      <c r="K3" s="1" t="n"/>
      <c r="L3" s="1" t="n"/>
      <c r="M3" s="6" t="inlineStr">
        <is>
          <t>STOCK</t>
        </is>
      </c>
      <c r="N3" s="7" t="inlineStr">
        <is>
          <t>22RE</t>
        </is>
      </c>
      <c r="O3" s="7" t="inlineStr">
        <is>
          <t>45RE</t>
        </is>
      </c>
    </row>
    <row r="4" ht="13" customHeight="1">
      <c r="A4" s="8" t="inlineStr">
        <is>
          <t>WK</t>
        </is>
      </c>
      <c r="B4" s="5" t="n"/>
      <c r="C4" s="5" t="inlineStr">
        <is>
          <t>20'RE</t>
        </is>
      </c>
      <c r="D4" s="5" t="inlineStr">
        <is>
          <t>40'RH</t>
        </is>
      </c>
      <c r="E4" s="1" t="n"/>
      <c r="F4" s="1" t="n"/>
      <c r="G4" s="8" t="inlineStr">
        <is>
          <t>WK</t>
        </is>
      </c>
      <c r="H4" s="5" t="n"/>
      <c r="I4" s="5" t="inlineStr">
        <is>
          <t>20'RE</t>
        </is>
      </c>
      <c r="J4" s="5" t="inlineStr">
        <is>
          <t>40'RH</t>
        </is>
      </c>
      <c r="K4" s="1" t="n"/>
      <c r="L4" s="1" t="n"/>
      <c r="M4" s="9" t="inlineStr">
        <is>
          <t>BC</t>
        </is>
      </c>
      <c r="N4" s="10">
        <f>C5</f>
        <v/>
      </c>
      <c r="O4" s="10">
        <f>D5</f>
        <v/>
      </c>
    </row>
    <row r="5" ht="13" customHeight="1">
      <c r="A5" s="11" t="n"/>
      <c r="B5" s="12" t="inlineStr">
        <is>
          <t>Stock empty in yard</t>
        </is>
      </c>
      <c r="C5" s="13" t="n">
        <v>34</v>
      </c>
      <c r="D5" s="13" t="n">
        <v>38</v>
      </c>
      <c r="E5" s="1" t="n"/>
      <c r="F5" s="1" t="n"/>
      <c r="G5" s="11" t="n"/>
      <c r="H5" s="12" t="inlineStr">
        <is>
          <t>Stock empty in yard</t>
        </is>
      </c>
      <c r="I5" s="13" t="n">
        <v>7</v>
      </c>
      <c r="J5" s="13" t="n">
        <v>53</v>
      </c>
      <c r="K5" s="1" t="n"/>
      <c r="L5" s="1" t="n"/>
      <c r="M5" s="9" t="inlineStr">
        <is>
          <t>HAST</t>
        </is>
      </c>
      <c r="N5" s="10">
        <f>I5</f>
        <v/>
      </c>
      <c r="O5" s="10">
        <f>J5</f>
        <v/>
      </c>
    </row>
    <row r="6" ht="13" customHeight="1">
      <c r="A6" s="14">
        <f>Control!$A$4</f>
        <v/>
      </c>
      <c r="B6" s="9" t="inlineStr">
        <is>
          <t>Booking Pending pick up</t>
        </is>
      </c>
      <c r="C6" s="9">
        <f>SUMIFS(BookingRaw!$C$2:$C$8000,BookingRaw!$A$2:$A$8000,"BKK27",BookingRaw!$B$2:$B$8000,"&lt;"&amp;Control!$B$1)</f>
        <v/>
      </c>
      <c r="D6" s="9">
        <f>SUMIFS(BookingRaw!$D$2:$D$8000,BookingRaw!$A$2:$A$8000,"BKK27",BookingRaw!$B$2:$B$8000,"&lt;"&amp;Control!$B$1)</f>
        <v/>
      </c>
      <c r="E6" s="1" t="n"/>
      <c r="F6" s="1" t="n"/>
      <c r="G6" s="14">
        <f>Control!$A$4</f>
        <v/>
      </c>
      <c r="H6" s="9" t="inlineStr">
        <is>
          <t>Booking Pending pick up</t>
        </is>
      </c>
      <c r="I6" s="9">
        <f>SUMIFS(BookingRaw!$C$2:$C$8000,BookingRaw!$A$2:$A$8000,"LCH27",BookingRaw!$B$2:$B$8000,"&lt;"&amp;Control!$B$1)</f>
        <v/>
      </c>
      <c r="J6" s="9">
        <f>SUMIFS(BookingRaw!$D$2:$D$8000,BookingRaw!$A$2:$A$8000,"LCH27",BookingRaw!$B$2:$B$8000,"&lt;"&amp;Control!$B$1)</f>
        <v/>
      </c>
      <c r="K6" s="1" t="n"/>
      <c r="L6" s="1" t="n"/>
      <c r="M6" s="15" t="inlineStr">
        <is>
          <t>TOTAL</t>
        </is>
      </c>
      <c r="N6" s="7">
        <f>SUM(N4:N5)</f>
        <v/>
      </c>
      <c r="O6" s="7">
        <f>SUM(O4:O5)</f>
        <v/>
      </c>
    </row>
    <row r="7" ht="13" customHeight="1">
      <c r="A7" s="14">
        <f>Control!$A$4</f>
        <v/>
      </c>
      <c r="B7" s="9">
        <f>"Booking on "&amp;IF(Control!$B$1=Control!$C$4,DAY(Control!$B$1)&amp;" "&amp;CHOOSE(MONTH(Control!$B$1),"JAN","FEB","MAR","APR","MAY","JUN","JUL","AUG","SEP","OCT","NOV","DEC"),IF(MONTH(Control!$B$1)=MONTH(Control!$C$4),DAY(Control!$B$1)&amp;"-"&amp;DAY(Control!$C$4)&amp;" "&amp;CHOOSE(MONTH(Control!$C$4),"JAN","FEB","MAR","APR","MAY","JUN","JUL","AUG","SEP","OCT","NOV","DEC"),DAY(Control!$B$1)&amp;" "&amp;CHOOSE(MONTH(Control!$B$1),"JAN","FEB","MAR","APR","MAY","JUN","JUL","AUG","SEP","OCT","NOV","DEC")&amp;"-"&amp;DAY(Control!$C$4)&amp;" "&amp;CHOOSE(MONTH(Control!$C$4),"JAN","FEB","MAR","APR","MAY","JUN","JUL","AUG","SEP","OCT","NOV","DEC")))</f>
        <v/>
      </c>
      <c r="C7" s="9">
        <f>SUMIFS(BookingRaw!$C$2:$C$8000,BookingRaw!$A$2:$A$8000,"BKK27",BookingRaw!$B$2:$B$8000,"&gt;="&amp;Control!$B$1,BookingRaw!$B$2:$B$8000,"&lt;="&amp;Control!$C$4)</f>
        <v/>
      </c>
      <c r="D7" s="9">
        <f>SUMIFS(BookingRaw!$D$2:$D$8000,BookingRaw!$A$2:$A$8000,"BKK27",BookingRaw!$B$2:$B$8000,"&gt;="&amp;Control!$B$1,BookingRaw!$B$2:$B$8000,"&lt;="&amp;Control!$C$4)</f>
        <v/>
      </c>
      <c r="E7" s="1" t="n"/>
      <c r="F7" s="1" t="n"/>
      <c r="G7" s="14">
        <f>Control!$A$4</f>
        <v/>
      </c>
      <c r="H7" s="9">
        <f>"Booking on "&amp;IF(Control!$B$1=Control!$C$4,DAY(Control!$B$1)&amp;" "&amp;CHOOSE(MONTH(Control!$B$1),"JAN","FEB","MAR","APR","MAY","JUN","JUL","AUG","SEP","OCT","NOV","DEC"),IF(MONTH(Control!$B$1)=MONTH(Control!$C$4),DAY(Control!$B$1)&amp;"-"&amp;DAY(Control!$C$4)&amp;" "&amp;CHOOSE(MONTH(Control!$C$4),"JAN","FEB","MAR","APR","MAY","JUN","JUL","AUG","SEP","OCT","NOV","DEC"),DAY(Control!$B$1)&amp;" "&amp;CHOOSE(MONTH(Control!$B$1),"JAN","FEB","MAR","APR","MAY","JUN","JUL","AUG","SEP","OCT","NOV","DEC")&amp;"-"&amp;DAY(Control!$C$4)&amp;" "&amp;CHOOSE(MONTH(Control!$C$4),"JAN","FEB","MAR","APR","MAY","JUN","JUL","AUG","SEP","OCT","NOV","DEC")))</f>
        <v/>
      </c>
      <c r="I7" s="9">
        <f>SUMIFS(BookingRaw!$C$2:$C$8000,BookingRaw!$A$2:$A$8000,"LCH27",BookingRaw!$B$2:$B$8000,"&gt;="&amp;Control!$B$1,BookingRaw!$B$2:$B$8000,"&lt;="&amp;Control!$C$4)</f>
        <v/>
      </c>
      <c r="J7" s="9">
        <f>SUMIFS(BookingRaw!$D$2:$D$8000,BookingRaw!$A$2:$A$8000,"LCH27",BookingRaw!$B$2:$B$8000,"&gt;="&amp;Control!$B$1,BookingRaw!$B$2:$B$8000,"&lt;="&amp;Control!$C$4)</f>
        <v/>
      </c>
      <c r="K7" s="1" t="n"/>
      <c r="L7" s="1" t="n"/>
      <c r="M7" s="1" t="n"/>
      <c r="N7" s="1" t="n"/>
      <c r="O7" s="1" t="n"/>
    </row>
    <row r="8" ht="13" customHeight="1">
      <c r="A8" s="11" t="n"/>
      <c r="B8" s="16">
        <f>"AV Balance till "&amp;DAY(Control!$C$4)&amp;" "&amp;CHOOSE(MONTH(Control!$C$4),"JAN","FEB","MAR","APR","MAY","JUN","JUL","AUG","SEP","OCT","NOV","DEC")</f>
        <v/>
      </c>
      <c r="C8" s="59">
        <f>C5-C6-C7</f>
        <v/>
      </c>
      <c r="D8" s="59">
        <f>D5-D6-D7</f>
        <v/>
      </c>
      <c r="E8" s="1" t="n"/>
      <c r="F8" s="1" t="n"/>
      <c r="G8" s="11" t="n"/>
      <c r="H8" s="16">
        <f>"AV Balance till "&amp;DAY(Control!$C$4)&amp;" "&amp;CHOOSE(MONTH(Control!$C$4),"JAN","FEB","MAR","APR","MAY","JUN","JUL","AUG","SEP","OCT","NOV","DEC")</f>
        <v/>
      </c>
      <c r="I8" s="59">
        <f>I5-I6-I7</f>
        <v/>
      </c>
      <c r="J8" s="59">
        <f>J5-J6-J7</f>
        <v/>
      </c>
      <c r="K8" s="1" t="n"/>
      <c r="L8" s="1" t="n"/>
      <c r="M8" s="6" t="inlineStr">
        <is>
          <t>BOOKING</t>
        </is>
      </c>
      <c r="N8" s="7" t="inlineStr">
        <is>
          <t>22RE</t>
        </is>
      </c>
      <c r="O8" s="7" t="inlineStr">
        <is>
          <t>45RE</t>
        </is>
      </c>
    </row>
    <row r="9" ht="13" customHeight="1">
      <c r="A9" s="11" t="n"/>
      <c r="B9" s="9" t="n"/>
      <c r="C9" s="9" t="n"/>
      <c r="D9" s="9" t="n"/>
      <c r="E9" s="1" t="n"/>
      <c r="F9" s="1" t="n"/>
      <c r="G9" s="11" t="n"/>
      <c r="H9" s="9" t="n"/>
      <c r="I9" s="9" t="n"/>
      <c r="J9" s="9" t="n"/>
      <c r="K9" s="1" t="n"/>
      <c r="L9" s="1" t="n"/>
      <c r="M9" s="9" t="inlineStr">
        <is>
          <t>BC</t>
        </is>
      </c>
      <c r="N9" s="10">
        <f>C6+C7+C10+C13+C16</f>
        <v/>
      </c>
      <c r="O9" s="10">
        <f>D6+D7+D10+D13+D16</f>
        <v/>
      </c>
    </row>
    <row r="10" ht="13" customHeight="1">
      <c r="A10" s="14">
        <f>Control!$A$5</f>
        <v/>
      </c>
      <c r="B10" s="9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C10" s="9">
        <f>SUMIFS(BookingRaw!$C$2:$C$8000,BookingRaw!$A$2:$A$8000,"BKK27",BookingRaw!$B$2:$B$8000,"&gt;="&amp;Control!$B5,BookingRaw!$B$2:$B$8000,"&lt;="&amp;Control!$C5)</f>
        <v/>
      </c>
      <c r="D10" s="9">
        <f>SUMIFS(BookingRaw!$D$2:$D$8000,BookingRaw!$A$2:$A$8000,"BKK27",BookingRaw!$B$2:$B$8000,"&gt;="&amp;Control!$B5,BookingRaw!$B$2:$B$8000,"&lt;="&amp;Control!$C5)</f>
        <v/>
      </c>
      <c r="E10" s="1" t="n"/>
      <c r="F10" s="1" t="n"/>
      <c r="G10" s="14">
        <f>Control!$A$5</f>
        <v/>
      </c>
      <c r="H10" s="9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I10" s="9">
        <f>SUMIFS(BookingRaw!$C$2:$C$8000,BookingRaw!$A$2:$A$8000,"LCH27",BookingRaw!$B$2:$B$8000,"&gt;="&amp;Control!$B5,BookingRaw!$B$2:$B$8000,"&lt;="&amp;Control!$C5)</f>
        <v/>
      </c>
      <c r="J10" s="9">
        <f>SUMIFS(BookingRaw!$D$2:$D$8000,BookingRaw!$A$2:$A$8000,"LCH27",BookingRaw!$B$2:$B$8000,"&gt;="&amp;Control!$B5,BookingRaw!$B$2:$B$8000,"&lt;="&amp;Control!$C5)</f>
        <v/>
      </c>
      <c r="K10" s="1" t="n"/>
      <c r="L10" s="1" t="n"/>
      <c r="M10" s="9" t="inlineStr">
        <is>
          <t>HAST</t>
        </is>
      </c>
      <c r="N10" s="10">
        <f>I6+I7+I10+I13+I16</f>
        <v/>
      </c>
      <c r="O10" s="10">
        <f>J6+J7+J10+J13+J16</f>
        <v/>
      </c>
    </row>
    <row r="11" ht="13" customHeight="1">
      <c r="A11" s="11" t="n"/>
      <c r="B11" s="16">
        <f>"AV Balance till "&amp;DAY(Control!$C5)&amp;" "&amp;CHOOSE(MONTH(Control!$C5),"JAN","FEB","MAR","APR","MAY","JUN","JUL","AUG","SEP","OCT","NOV","DEC")</f>
        <v/>
      </c>
      <c r="C11" s="59">
        <f>C8-C10</f>
        <v/>
      </c>
      <c r="D11" s="59">
        <f>D8-D10</f>
        <v/>
      </c>
      <c r="E11" s="1" t="n"/>
      <c r="F11" s="1" t="n"/>
      <c r="G11" s="11" t="n"/>
      <c r="H11" s="16">
        <f>"AV Balance till "&amp;DAY(Control!$C5)&amp;" "&amp;CHOOSE(MONTH(Control!$C5),"JAN","FEB","MAR","APR","MAY","JUN","JUL","AUG","SEP","OCT","NOV","DEC")</f>
        <v/>
      </c>
      <c r="I11" s="59">
        <f>I8-I10</f>
        <v/>
      </c>
      <c r="J11" s="59">
        <f>J8-J10</f>
        <v/>
      </c>
      <c r="K11" s="1" t="n"/>
      <c r="L11" s="1" t="n"/>
      <c r="M11" s="15" t="inlineStr">
        <is>
          <t>TOTAL</t>
        </is>
      </c>
      <c r="N11" s="7">
        <f>SUM(N9:N10)</f>
        <v/>
      </c>
      <c r="O11" s="7">
        <f>SUM(O9:O10)</f>
        <v/>
      </c>
    </row>
    <row r="12" ht="13" customHeight="1">
      <c r="A12" s="11" t="n"/>
      <c r="B12" s="9" t="n"/>
      <c r="C12" s="9" t="n"/>
      <c r="D12" s="9" t="n"/>
      <c r="E12" s="1" t="n"/>
      <c r="F12" s="1" t="n"/>
      <c r="G12" s="11" t="n"/>
      <c r="H12" s="9" t="n"/>
      <c r="I12" s="9" t="n"/>
      <c r="J12" s="9" t="n"/>
      <c r="K12" s="1" t="n"/>
      <c r="L12" s="1" t="n"/>
      <c r="M12" s="1" t="n"/>
      <c r="N12" s="1" t="n"/>
      <c r="O12" s="1" t="n"/>
    </row>
    <row r="13" ht="13" customHeight="1">
      <c r="A13" s="14">
        <f>Control!$A$6</f>
        <v/>
      </c>
      <c r="B13" s="9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C13" s="9">
        <f>SUMIFS(BookingRaw!$C$2:$C$8000,BookingRaw!$A$2:$A$8000,"BKK27",BookingRaw!$B$2:$B$8000,"&gt;="&amp;Control!$B6,BookingRaw!$B$2:$B$8000,"&lt;="&amp;Control!$C6)</f>
        <v/>
      </c>
      <c r="D13" s="9">
        <f>SUMIFS(BookingRaw!$D$2:$D$8000,BookingRaw!$A$2:$A$8000,"BKK27",BookingRaw!$B$2:$B$8000,"&gt;="&amp;Control!$B6,BookingRaw!$B$2:$B$8000,"&lt;="&amp;Control!$C6)</f>
        <v/>
      </c>
      <c r="E13" s="1" t="n"/>
      <c r="F13" s="1" t="n"/>
      <c r="G13" s="14">
        <f>Control!$A$6</f>
        <v/>
      </c>
      <c r="H13" s="9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I13" s="9">
        <f>SUMIFS(BookingRaw!$C$2:$C$8000,BookingRaw!$A$2:$A$8000,"LCH27",BookingRaw!$B$2:$B$8000,"&gt;="&amp;Control!$B6,BookingRaw!$B$2:$B$8000,"&lt;="&amp;Control!$C6)</f>
        <v/>
      </c>
      <c r="J13" s="9">
        <f>SUMIFS(BookingRaw!$D$2:$D$8000,BookingRaw!$A$2:$A$8000,"LCH27",BookingRaw!$B$2:$B$8000,"&gt;="&amp;Control!$B6,BookingRaw!$B$2:$B$8000,"&lt;="&amp;Control!$C6)</f>
        <v/>
      </c>
      <c r="K13" s="1" t="n"/>
      <c r="L13" s="1" t="n"/>
      <c r="M13" s="6" t="inlineStr">
        <is>
          <t>BALANCE</t>
        </is>
      </c>
      <c r="N13" s="7" t="inlineStr">
        <is>
          <t>22RE</t>
        </is>
      </c>
      <c r="O13" s="7" t="inlineStr">
        <is>
          <t>45RE</t>
        </is>
      </c>
    </row>
    <row r="14" ht="13" customHeight="1">
      <c r="A14" s="11" t="n"/>
      <c r="B14" s="16">
        <f>"AV Balance till "&amp;DAY(Control!$C6)&amp;" "&amp;CHOOSE(MONTH(Control!$C6),"JAN","FEB","MAR","APR","MAY","JUN","JUL","AUG","SEP","OCT","NOV","DEC")</f>
        <v/>
      </c>
      <c r="C14" s="59">
        <f>C11-C13</f>
        <v/>
      </c>
      <c r="D14" s="60">
        <f>D11-D13</f>
        <v/>
      </c>
      <c r="E14" s="1" t="n"/>
      <c r="F14" s="1" t="n"/>
      <c r="G14" s="11" t="n"/>
      <c r="H14" s="16">
        <f>"AV Balance till "&amp;DAY(Control!$C6)&amp;" "&amp;CHOOSE(MONTH(Control!$C6),"JAN","FEB","MAR","APR","MAY","JUN","JUL","AUG","SEP","OCT","NOV","DEC")</f>
        <v/>
      </c>
      <c r="I14" s="59">
        <f>I11-I13</f>
        <v/>
      </c>
      <c r="J14" s="60">
        <f>J11-J13</f>
        <v/>
      </c>
      <c r="K14" s="1" t="n"/>
      <c r="L14" s="1" t="n"/>
      <c r="M14" s="9" t="inlineStr">
        <is>
          <t>BC</t>
        </is>
      </c>
      <c r="N14" s="10">
        <f>C17</f>
        <v/>
      </c>
      <c r="O14" s="10">
        <f>D17</f>
        <v/>
      </c>
    </row>
    <row r="15" ht="13" customHeight="1">
      <c r="A15" s="11" t="n"/>
      <c r="B15" s="9" t="n"/>
      <c r="C15" s="9" t="n"/>
      <c r="D15" s="9" t="n"/>
      <c r="E15" s="1" t="n"/>
      <c r="F15" s="1" t="n"/>
      <c r="G15" s="11" t="n"/>
      <c r="H15" s="9" t="n"/>
      <c r="I15" s="9" t="n"/>
      <c r="J15" s="9" t="n"/>
      <c r="K15" s="1" t="n"/>
      <c r="L15" s="1" t="n"/>
      <c r="M15" s="9" t="inlineStr">
        <is>
          <t>HAST</t>
        </is>
      </c>
      <c r="N15" s="10">
        <f>I17</f>
        <v/>
      </c>
      <c r="O15" s="10">
        <f>J17</f>
        <v/>
      </c>
    </row>
    <row r="16" ht="13" customHeight="1">
      <c r="A16" s="14">
        <f>Control!$A$7</f>
        <v/>
      </c>
      <c r="B16" s="9">
        <f>"Booking on "&amp;IF(Control!$B7=Control!$C7,DAY(Control!$B7)&amp;" "&amp;CHOOSE(MONTH(Control!$B7),"JAN","FEB","MAR","APR","MAY","JUN","JUL","AUG","SEP","OCT","NOV","DEC"),IF(MONTH(Control!$B7)=MONTH(Control!$C7),DAY(Control!$B7)&amp;"-"&amp;DAY(Control!$C7)&amp;" "&amp;CHOOSE(MONTH(Control!$C7),"JAN","FEB","MAR","APR","MAY","JUN","JUL","AUG","SEP","OCT","NOV","DEC"),DAY(Control!$B7)&amp;" "&amp;CHOOSE(MONTH(Control!$B7),"JAN","FEB","MAR","APR","MAY","JUN","JUL","AUG","SEP","OCT","NOV","DEC")&amp;"-"&amp;DAY(Control!$C7)&amp;" "&amp;CHOOSE(MONTH(Control!$C7),"JAN","FEB","MAR","APR","MAY","JUN","JUL","AUG","SEP","OCT","NOV","DEC")))</f>
        <v/>
      </c>
      <c r="C16" s="9">
        <f>SUMIFS(BookingRaw!$C$2:$C$8000,BookingRaw!$A$2:$A$8000,"BKK27",BookingRaw!$B$2:$B$8000,"&gt;="&amp;Control!$B7,BookingRaw!$B$2:$B$8000,"&lt;="&amp;Control!$C7)</f>
        <v/>
      </c>
      <c r="D16" s="9">
        <f>SUMIFS(BookingRaw!$D$2:$D$8000,BookingRaw!$A$2:$A$8000,"BKK27",BookingRaw!$B$2:$B$8000,"&gt;="&amp;Control!$B7,BookingRaw!$B$2:$B$8000,"&lt;="&amp;Control!$C7)</f>
        <v/>
      </c>
      <c r="E16" s="1" t="n"/>
      <c r="F16" s="1" t="n"/>
      <c r="G16" s="14">
        <f>Control!$A$7</f>
        <v/>
      </c>
      <c r="H16" s="9">
        <f>"Booking on "&amp;IF(Control!$B7=Control!$C7,DAY(Control!$B7)&amp;" "&amp;CHOOSE(MONTH(Control!$B7),"JAN","FEB","MAR","APR","MAY","JUN","JUL","AUG","SEP","OCT","NOV","DEC"),IF(MONTH(Control!$B7)=MONTH(Control!$C7),DAY(Control!$B7)&amp;"-"&amp;DAY(Control!$C7)&amp;" "&amp;CHOOSE(MONTH(Control!$C7),"JAN","FEB","MAR","APR","MAY","JUN","JUL","AUG","SEP","OCT","NOV","DEC"),DAY(Control!$B7)&amp;" "&amp;CHOOSE(MONTH(Control!$B7),"JAN","FEB","MAR","APR","MAY","JUN","JUL","AUG","SEP","OCT","NOV","DEC")&amp;"-"&amp;DAY(Control!$C7)&amp;" "&amp;CHOOSE(MONTH(Control!$C7),"JAN","FEB","MAR","APR","MAY","JUN","JUL","AUG","SEP","OCT","NOV","DEC")))</f>
        <v/>
      </c>
      <c r="I16" s="9">
        <f>SUMIFS(BookingRaw!$C$2:$C$8000,BookingRaw!$A$2:$A$8000,"LCH27",BookingRaw!$B$2:$B$8000,"&gt;="&amp;Control!$B7,BookingRaw!$B$2:$B$8000,"&lt;="&amp;Control!$C7)</f>
        <v/>
      </c>
      <c r="J16" s="9">
        <f>SUMIFS(BookingRaw!$D$2:$D$8000,BookingRaw!$A$2:$A$8000,"LCH27",BookingRaw!$B$2:$B$8000,"&gt;="&amp;Control!$B7,BookingRaw!$B$2:$B$8000,"&lt;="&amp;Control!$C7)</f>
        <v/>
      </c>
      <c r="K16" s="1" t="n"/>
      <c r="L16" s="1" t="n"/>
      <c r="M16" s="15" t="inlineStr">
        <is>
          <t>TOTAL</t>
        </is>
      </c>
      <c r="N16" s="7">
        <f>SUM(N14:N15)</f>
        <v/>
      </c>
      <c r="O16" s="7">
        <f>SUM(O14:O15)</f>
        <v/>
      </c>
    </row>
    <row r="17" ht="13" customHeight="1">
      <c r="A17" s="11" t="n"/>
      <c r="B17" s="16">
        <f>"AV Balance till "&amp;DAY(Control!$C7)&amp;" "&amp;CHOOSE(MONTH(Control!$C7),"JAN","FEB","MAR","APR","MAY","JUN","JUL","AUG","SEP","OCT","NOV","DEC")</f>
        <v/>
      </c>
      <c r="C17" s="59">
        <f>C14-C16</f>
        <v/>
      </c>
      <c r="D17" s="60">
        <f>D14-D16</f>
        <v/>
      </c>
      <c r="E17" s="1" t="n"/>
      <c r="F17" s="1" t="n"/>
      <c r="G17" s="11" t="n"/>
      <c r="H17" s="16">
        <f>"AV Balance till "&amp;DAY(Control!$C7)&amp;" "&amp;CHOOSE(MONTH(Control!$C7),"JAN","FEB","MAR","APR","MAY","JUN","JUL","AUG","SEP","OCT","NOV","DEC")</f>
        <v/>
      </c>
      <c r="I17" s="59">
        <f>I14-I16</f>
        <v/>
      </c>
      <c r="J17" s="60">
        <f>J14-J16</f>
        <v/>
      </c>
      <c r="K17" s="1" t="n"/>
      <c r="L17" s="1" t="n"/>
      <c r="M17" s="1" t="n"/>
      <c r="N17" s="1" t="n"/>
      <c r="O17" s="1" t="n"/>
    </row>
    <row r="18" ht="13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13" customHeight="1">
      <c r="A20" s="1" t="n"/>
      <c r="B20" s="5" t="inlineStr">
        <is>
          <t>BKK27 / BC2</t>
        </is>
      </c>
      <c r="C20" s="7" t="inlineStr">
        <is>
          <t>20'RE</t>
        </is>
      </c>
      <c r="D20" s="7" t="inlineStr">
        <is>
          <t>40'RH</t>
        </is>
      </c>
      <c r="E20" s="1" t="n"/>
      <c r="F20" s="1" t="n"/>
      <c r="G20" s="1" t="n"/>
      <c r="H20" s="5" t="inlineStr">
        <is>
          <t>LCH27 / HAST</t>
        </is>
      </c>
      <c r="I20" s="7" t="inlineStr">
        <is>
          <t>20'RE</t>
        </is>
      </c>
      <c r="J20" s="7" t="inlineStr">
        <is>
          <t>40'RH</t>
        </is>
      </c>
      <c r="K20" s="1" t="n"/>
      <c r="L20" s="1" t="n"/>
      <c r="M20" s="1" t="n"/>
      <c r="N20" s="1" t="n"/>
      <c r="O20" s="1" t="n"/>
    </row>
    <row r="21" ht="13" customHeight="1">
      <c r="A21" s="1" t="n"/>
      <c r="B21" s="14" t="inlineStr">
        <is>
          <t>AV</t>
        </is>
      </c>
      <c r="C21" s="10">
        <f>COUNTIFS(StockRaw!$A$2:$A$133,"BKK27",StockRaw!$B$2:$B$133,"22RE",StockRaw!$C$2:$C$133,"IED")+COUNTIFS(StockRaw!$A$2:$A$133,"BKK27",StockRaw!$B$2:$B$133,"22RE",StockRaw!$C$2:$C$133,"IEP")+COUNTIFS(StockRaw!$A$2:$A$133,"BKK27",StockRaw!$B$2:$B$133,"22RE",StockRaw!$C$2:$C$133,"IER")</f>
        <v/>
      </c>
      <c r="D21" s="10">
        <f>COUNTIFS(StockRaw!$A$2:$A$133,"BKK27",StockRaw!$B$2:$B$133,"45RE",StockRaw!$C$2:$C$133,"IED")+COUNTIFS(StockRaw!$A$2:$A$133,"BKK27",StockRaw!$B$2:$B$133,"45RE",StockRaw!$C$2:$C$133,"IEP")+COUNTIFS(StockRaw!$A$2:$A$133,"BKK27",StockRaw!$B$2:$B$133,"45RE",StockRaw!$C$2:$C$133,"IER")</f>
        <v/>
      </c>
      <c r="E21" s="1" t="n"/>
      <c r="F21" s="1" t="n"/>
      <c r="G21" s="1" t="n"/>
      <c r="H21" s="14" t="inlineStr">
        <is>
          <t>AV</t>
        </is>
      </c>
      <c r="I21" s="10">
        <f>COUNTIFS(StockRaw!$A$2:$A$133,"LCH27",StockRaw!$B$2:$B$133,"22RE",StockRaw!$C$2:$C$133,"IED")+COUNTIFS(StockRaw!$A$2:$A$133,"LCH27",StockRaw!$B$2:$B$133,"22RE",StockRaw!$C$2:$C$133,"IEP")+COUNTIFS(StockRaw!$A$2:$A$133,"LCH27",StockRaw!$B$2:$B$133,"22RE",StockRaw!$C$2:$C$133,"IER")</f>
        <v/>
      </c>
      <c r="J21" s="10">
        <f>COUNTIFS(StockRaw!$A$2:$A$133,"LCH27",StockRaw!$B$2:$B$133,"45RE",StockRaw!$C$2:$C$133,"IED")+COUNTIFS(StockRaw!$A$2:$A$133,"LCH27",StockRaw!$B$2:$B$133,"45RE",StockRaw!$C$2:$C$133,"IEP")+COUNTIFS(StockRaw!$A$2:$A$133,"LCH27",StockRaw!$B$2:$B$133,"45RE",StockRaw!$C$2:$C$133,"IER")</f>
        <v/>
      </c>
      <c r="K21" s="1" t="n"/>
      <c r="L21" s="1" t="n"/>
      <c r="M21" s="1" t="n"/>
      <c r="N21" s="1" t="n"/>
      <c r="O21" s="1" t="n"/>
    </row>
    <row r="22" ht="13" customHeight="1">
      <c r="A22" s="1" t="n"/>
      <c r="B22" s="14" t="inlineStr">
        <is>
          <t>DMG</t>
        </is>
      </c>
      <c r="C22" s="10">
        <f>COUNTIFS(StockRaw!$A$2:$A$133,"BKK27",StockRaw!$B$2:$B$133,"22RE",StockRaw!$C$2:$C$133,"OER")</f>
        <v/>
      </c>
      <c r="D22" s="10">
        <f>COUNTIFS(StockRaw!$A$2:$A$133,"BKK27",StockRaw!$B$2:$B$133,"45RE",StockRaw!$C$2:$C$133,"OER")</f>
        <v/>
      </c>
      <c r="E22" s="1" t="n"/>
      <c r="F22" s="1" t="n"/>
      <c r="G22" s="1" t="n"/>
      <c r="H22" s="14" t="inlineStr">
        <is>
          <t>DMG</t>
        </is>
      </c>
      <c r="I22" s="10">
        <f>COUNTIFS(StockRaw!$A$2:$A$133,"LCH27",StockRaw!$B$2:$B$133,"22RE",StockRaw!$C$2:$C$133,"OER")</f>
        <v/>
      </c>
      <c r="J22" s="10">
        <f>COUNTIFS(StockRaw!$A$2:$A$133,"LCH27",StockRaw!$B$2:$B$133,"45RE",StockRaw!$C$2:$C$133,"OER")</f>
        <v/>
      </c>
      <c r="K22" s="1" t="n"/>
      <c r="L22" s="1" t="n"/>
      <c r="M22" s="1" t="n"/>
      <c r="N22" s="1" t="n"/>
      <c r="O22" s="1" t="n"/>
    </row>
    <row r="23" ht="13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13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 ht="13" customHeight="1">
      <c r="A25" s="1" t="n"/>
      <c r="B25" s="18" t="inlineStr">
        <is>
          <t>BKK / BC2 (BKK27)</t>
        </is>
      </c>
      <c r="C25" s="57" t="n"/>
      <c r="D25" s="57" t="n"/>
      <c r="E25" s="58" t="n"/>
      <c r="F25" s="1" t="n"/>
      <c r="G25" s="1" t="n"/>
      <c r="H25" s="18" t="inlineStr">
        <is>
          <t>LCH / HAST (LCH27)</t>
        </is>
      </c>
      <c r="I25" s="57" t="n"/>
      <c r="J25" s="57" t="n"/>
      <c r="K25" s="58" t="n"/>
      <c r="L25" s="1" t="n"/>
      <c r="M25" s="1" t="n"/>
      <c r="N25" s="1" t="n"/>
      <c r="O25" s="1" t="n"/>
    </row>
    <row r="26" ht="13" customHeight="1">
      <c r="A26" s="1" t="n"/>
      <c r="B26" s="19" t="inlineStr">
        <is>
          <t>YEAR BUILT 5 YEARS
FOR DURIAN SEASON</t>
        </is>
      </c>
      <c r="C26" s="5" t="inlineStr">
        <is>
          <t>CARRIER</t>
        </is>
      </c>
      <c r="D26" s="5" t="inlineStr">
        <is>
          <t>DAIKIN</t>
        </is>
      </c>
      <c r="E26" s="5" t="inlineStr">
        <is>
          <t>THERMO KING</t>
        </is>
      </c>
      <c r="F26" s="1" t="n"/>
      <c r="G26" s="1" t="n"/>
      <c r="H26" s="19" t="inlineStr">
        <is>
          <t>YEAR BUILT 5 YEARS
FOR DURIAN SEASON</t>
        </is>
      </c>
      <c r="I26" s="5" t="inlineStr">
        <is>
          <t>CARRIER</t>
        </is>
      </c>
      <c r="J26" s="5" t="inlineStr">
        <is>
          <t>DAIKIN</t>
        </is>
      </c>
      <c r="K26" s="5" t="inlineStr">
        <is>
          <t>THERMO KING</t>
        </is>
      </c>
      <c r="L26" s="1" t="n"/>
      <c r="M26" s="1" t="n"/>
      <c r="N26" s="1" t="n"/>
      <c r="O26" s="1" t="n"/>
    </row>
    <row r="27" ht="13" customHeight="1">
      <c r="A27" s="1" t="n"/>
      <c r="B27" s="61" t="n"/>
      <c r="C27" s="5" t="inlineStr">
        <is>
          <t>45RE</t>
        </is>
      </c>
      <c r="D27" s="5" t="inlineStr">
        <is>
          <t>45RE</t>
        </is>
      </c>
      <c r="E27" s="5" t="inlineStr">
        <is>
          <t>45RE</t>
        </is>
      </c>
      <c r="F27" s="1" t="n"/>
      <c r="G27" s="1" t="n"/>
      <c r="H27" s="61" t="n"/>
      <c r="I27" s="5" t="inlineStr">
        <is>
          <t>45RE</t>
        </is>
      </c>
      <c r="J27" s="5" t="inlineStr">
        <is>
          <t>45RE</t>
        </is>
      </c>
      <c r="K27" s="5" t="inlineStr">
        <is>
          <t>45RE</t>
        </is>
      </c>
      <c r="L27" s="1" t="n"/>
      <c r="M27" s="1" t="n"/>
      <c r="N27" s="1" t="n"/>
      <c r="O27" s="1" t="n"/>
    </row>
    <row r="28" ht="13" customHeight="1">
      <c r="A28" s="1" t="n"/>
      <c r="B28" s="10" t="n">
        <v>2026</v>
      </c>
      <c r="C28" s="10" t="n">
        <v>0</v>
      </c>
      <c r="D28" s="10" t="n">
        <v>0</v>
      </c>
      <c r="E28" s="10" t="n">
        <v>0</v>
      </c>
      <c r="F28" s="1" t="n"/>
      <c r="G28" s="1" t="n"/>
      <c r="H28" s="10" t="n">
        <v>2026</v>
      </c>
      <c r="I28" s="10" t="n">
        <v>0</v>
      </c>
      <c r="J28" s="10" t="n">
        <v>0</v>
      </c>
      <c r="K28" s="10" t="n">
        <v>0</v>
      </c>
      <c r="L28" s="1" t="n"/>
      <c r="M28" s="1" t="n"/>
      <c r="N28" s="1" t="n"/>
      <c r="O28" s="1" t="n"/>
    </row>
    <row r="29" ht="13" customHeight="1">
      <c r="A29" s="1" t="n"/>
      <c r="B29" s="10" t="n">
        <v>2025</v>
      </c>
      <c r="C29" s="10" t="n">
        <v>3</v>
      </c>
      <c r="D29" s="10" t="n">
        <v>0</v>
      </c>
      <c r="E29" s="10" t="n">
        <v>1</v>
      </c>
      <c r="F29" s="1" t="n"/>
      <c r="G29" s="1" t="n"/>
      <c r="H29" s="10" t="n">
        <v>2025</v>
      </c>
      <c r="I29" s="10" t="n">
        <v>8</v>
      </c>
      <c r="J29" s="10" t="n">
        <v>0</v>
      </c>
      <c r="K29" s="10" t="n">
        <v>1</v>
      </c>
      <c r="L29" s="1" t="n"/>
      <c r="M29" s="1" t="n"/>
      <c r="N29" s="1" t="n"/>
      <c r="O29" s="1" t="n"/>
    </row>
    <row r="30" ht="13" customHeight="1">
      <c r="A30" s="1" t="n"/>
      <c r="B30" s="10" t="n">
        <v>2024</v>
      </c>
      <c r="C30" s="10" t="n">
        <v>0</v>
      </c>
      <c r="D30" s="10" t="n">
        <v>0</v>
      </c>
      <c r="E30" s="10" t="n">
        <v>0</v>
      </c>
      <c r="F30" s="1" t="n"/>
      <c r="G30" s="1" t="n"/>
      <c r="H30" s="10" t="n">
        <v>2024</v>
      </c>
      <c r="I30" s="10" t="n">
        <v>0</v>
      </c>
      <c r="J30" s="10" t="n">
        <v>0</v>
      </c>
      <c r="K30" s="10" t="n">
        <v>0</v>
      </c>
      <c r="L30" s="1" t="n"/>
      <c r="M30" s="1" t="n"/>
      <c r="N30" s="1" t="n"/>
      <c r="O30" s="1" t="n"/>
    </row>
    <row r="31" ht="13" customHeight="1">
      <c r="A31" s="1" t="n"/>
      <c r="B31" s="10" t="n">
        <v>2023</v>
      </c>
      <c r="C31" s="10" t="n">
        <v>1</v>
      </c>
      <c r="D31" s="10" t="n">
        <v>0</v>
      </c>
      <c r="E31" s="10" t="n">
        <v>0</v>
      </c>
      <c r="F31" s="1" t="n"/>
      <c r="G31" s="1" t="n"/>
      <c r="H31" s="10" t="n">
        <v>2023</v>
      </c>
      <c r="I31" s="10" t="n">
        <v>0</v>
      </c>
      <c r="J31" s="10" t="n">
        <v>0</v>
      </c>
      <c r="K31" s="10" t="n">
        <v>0</v>
      </c>
      <c r="L31" s="1" t="n"/>
      <c r="M31" s="1" t="n"/>
      <c r="N31" s="1" t="n"/>
      <c r="O31" s="1" t="n"/>
    </row>
    <row r="32" ht="13" customHeight="1">
      <c r="A32" s="1" t="n"/>
      <c r="B32" s="10" t="n">
        <v>2022</v>
      </c>
      <c r="C32" s="10" t="n">
        <v>0</v>
      </c>
      <c r="D32" s="10" t="n">
        <v>0</v>
      </c>
      <c r="E32" s="10" t="n">
        <v>0</v>
      </c>
      <c r="F32" s="1" t="n"/>
      <c r="G32" s="1" t="n"/>
      <c r="H32" s="10" t="n">
        <v>2022</v>
      </c>
      <c r="I32" s="10" t="n">
        <v>0</v>
      </c>
      <c r="J32" s="10" t="n">
        <v>0</v>
      </c>
      <c r="K32" s="10" t="n">
        <v>0</v>
      </c>
      <c r="L32" s="1" t="n"/>
      <c r="M32" s="1" t="n"/>
      <c r="N32" s="1" t="n"/>
      <c r="O32" s="1" t="n"/>
    </row>
    <row r="33" ht="13" customHeight="1">
      <c r="A33" s="1" t="n"/>
      <c r="B33" s="10" t="n">
        <v>2021</v>
      </c>
      <c r="C33" s="10" t="n">
        <v>5</v>
      </c>
      <c r="D33" s="10" t="n">
        <v>0</v>
      </c>
      <c r="E33" s="10" t="n">
        <v>0</v>
      </c>
      <c r="F33" s="1" t="n"/>
      <c r="G33" s="1" t="n"/>
      <c r="H33" s="10" t="n">
        <v>2021</v>
      </c>
      <c r="I33" s="10" t="n">
        <v>4</v>
      </c>
      <c r="J33" s="10" t="n">
        <v>0</v>
      </c>
      <c r="K33" s="10" t="n">
        <v>0</v>
      </c>
      <c r="L33" s="1" t="n"/>
      <c r="M33" s="1" t="n"/>
      <c r="N33" s="1" t="n"/>
      <c r="O33" s="1" t="n"/>
    </row>
    <row r="34" ht="13" customHeight="1">
      <c r="A34" s="1" t="n"/>
      <c r="B34" s="7" t="inlineStr">
        <is>
          <t>TOTAL</t>
        </is>
      </c>
      <c r="C34" s="7" t="n">
        <v>9</v>
      </c>
      <c r="D34" s="7" t="n">
        <v>0</v>
      </c>
      <c r="E34" s="7" t="n">
        <v>1</v>
      </c>
      <c r="F34" s="1" t="n"/>
      <c r="G34" s="1" t="n"/>
      <c r="H34" s="7" t="inlineStr">
        <is>
          <t>TOTAL</t>
        </is>
      </c>
      <c r="I34" s="7" t="n">
        <v>12</v>
      </c>
      <c r="J34" s="7" t="n">
        <v>0</v>
      </c>
      <c r="K34" s="7" t="n">
        <v>1</v>
      </c>
      <c r="L34" s="1" t="n"/>
      <c r="M34" s="1" t="n"/>
      <c r="N34" s="1" t="n"/>
      <c r="O34" s="1" t="n"/>
    </row>
    <row r="35" ht="13" customHeight="1">
      <c r="A35" s="1" t="n"/>
      <c r="B35" s="1" t="n"/>
      <c r="C35" s="1" t="n"/>
      <c r="D35" s="20" t="inlineStr">
        <is>
          <t>OVER 5 Y</t>
        </is>
      </c>
      <c r="E35" s="21" t="n">
        <v>28</v>
      </c>
      <c r="F35" s="1" t="n"/>
      <c r="G35" s="1" t="n"/>
      <c r="H35" s="1" t="n"/>
      <c r="I35" s="1" t="n"/>
      <c r="J35" s="20" t="inlineStr">
        <is>
          <t>OVER 5 Y</t>
        </is>
      </c>
      <c r="K35" s="21" t="n">
        <v>40</v>
      </c>
      <c r="L35" s="1" t="n"/>
      <c r="M35" s="1" t="n"/>
      <c r="N35" s="1" t="n"/>
      <c r="O35" s="1" t="n"/>
    </row>
  </sheetData>
  <mergeCells count="7">
    <mergeCell ref="H26:H27"/>
    <mergeCell ref="B3:D3"/>
    <mergeCell ref="H25:K25"/>
    <mergeCell ref="B25:E25"/>
    <mergeCell ref="H3:J3"/>
    <mergeCell ref="B26:B27"/>
    <mergeCell ref="A1:K1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28"/>
  <sheetViews>
    <sheetView showGridLines="0" tabSelected="0" workbookViewId="0">
      <selection activeCell="A1" sqref="A1"/>
    </sheetView>
  </sheetViews>
  <sheetFormatPr baseColWidth="8" defaultRowHeight="15"/>
  <cols>
    <col width="3.571428571428572" customWidth="1" min="1" max="1"/>
    <col width="8.714285714285714" customWidth="1" min="2" max="2"/>
    <col width="8.714285714285714" customWidth="1" min="3" max="3"/>
    <col width="8.714285714285714" customWidth="1" min="4" max="4"/>
    <col width="8.714285714285714" customWidth="1" min="5" max="5"/>
    <col width="8.714285714285714" customWidth="1" min="6" max="6"/>
    <col width="8.714285714285714" customWidth="1" min="7" max="7"/>
    <col width="8.714285714285714" customWidth="1" min="8" max="8"/>
    <col width="3.571428571428572" customWidth="1" min="9" max="9"/>
    <col width="8.714285714285714" customWidth="1" min="10" max="10"/>
    <col width="8.714285714285714" customWidth="1" min="11" max="11"/>
    <col width="8.714285714285714" customWidth="1" min="12" max="12"/>
    <col width="8.714285714285714" customWidth="1" min="13" max="13"/>
    <col width="8.714285714285714" customWidth="1" min="14" max="14"/>
    <col width="8.714285714285714" customWidth="1" min="15" max="15"/>
    <col width="8.714285714285714" customWidth="1" min="16" max="16"/>
    <col width="8.714285714285714" customWidth="1" min="17" max="17"/>
  </cols>
  <sheetData>
    <row r="1" ht="13" customHeight="1">
      <c r="A1" s="1" t="n"/>
      <c r="B1" s="22" t="inlineStr">
        <is>
          <t>CARGO CLASSIFICATION  (40'RH stock by Built Year, per depot)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3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13" customHeight="1">
      <c r="A3" s="1" t="n"/>
      <c r="B3" s="23" t="inlineStr">
        <is>
          <t>BKK27 DURIAN  (2021-2026)</t>
        </is>
      </c>
      <c r="C3" s="24" t="n"/>
      <c r="D3" s="24" t="n"/>
      <c r="E3" s="1" t="n"/>
      <c r="F3" s="23" t="inlineStr">
        <is>
          <t>BKK27 NON DURIAN  (≤ 2020)</t>
        </is>
      </c>
      <c r="G3" s="24" t="n"/>
      <c r="H3" s="24" t="n"/>
      <c r="I3" s="1" t="n"/>
      <c r="J3" s="23" t="inlineStr">
        <is>
          <t>LCH27 DURIAN  (2021-2026)</t>
        </is>
      </c>
      <c r="K3" s="24" t="n"/>
      <c r="L3" s="24" t="n"/>
      <c r="M3" s="1" t="n"/>
      <c r="N3" s="23" t="inlineStr">
        <is>
          <t>LCH27 NON DURIAN  (≤ 2020)</t>
        </is>
      </c>
      <c r="O3" s="24" t="n"/>
      <c r="P3" s="24" t="n"/>
    </row>
    <row r="4" ht="13" customHeight="1">
      <c r="A4" s="1" t="n"/>
      <c r="B4" s="25">
        <f>SUM(D11:D16)+SUM(F11:F16)+SUM(H11:H16)</f>
        <v/>
      </c>
      <c r="C4" s="24" t="n"/>
      <c r="D4" s="24" t="n"/>
      <c r="E4" s="1" t="n"/>
      <c r="F4" s="25">
        <f>SUM(D17:D27)+SUM(F17:F27)+SUM(H17:H27)</f>
        <v/>
      </c>
      <c r="G4" s="24" t="n"/>
      <c r="H4" s="24" t="n"/>
      <c r="I4" s="1" t="n"/>
      <c r="J4" s="26">
        <f>SUM(L11:L16)+SUM(N11:N16)+SUM(P11:P16)</f>
        <v/>
      </c>
      <c r="K4" s="24" t="n"/>
      <c r="L4" s="24" t="n"/>
      <c r="M4" s="1" t="n"/>
      <c r="N4" s="26">
        <f>SUM(L17:L27)+SUM(N17:N27)+SUM(P17:P27)</f>
        <v/>
      </c>
      <c r="O4" s="24" t="n"/>
      <c r="P4" s="24" t="n"/>
    </row>
    <row r="5" ht="13" customHeight="1">
      <c r="A5" s="1" t="n"/>
      <c r="B5" s="27" t="inlineStr">
        <is>
          <t>40'RH stock</t>
        </is>
      </c>
      <c r="C5" s="24" t="n"/>
      <c r="D5" s="24" t="n"/>
      <c r="E5" s="1" t="n"/>
      <c r="F5" s="27" t="inlineStr">
        <is>
          <t>40'RH stock</t>
        </is>
      </c>
      <c r="G5" s="24" t="n"/>
      <c r="H5" s="24" t="n"/>
      <c r="I5" s="1" t="n"/>
      <c r="J5" s="27" t="inlineStr">
        <is>
          <t>40'RH stock</t>
        </is>
      </c>
      <c r="K5" s="24" t="n"/>
      <c r="L5" s="24" t="n"/>
      <c r="M5" s="1" t="n"/>
      <c r="N5" s="27" t="inlineStr">
        <is>
          <t>40'RH stock</t>
        </is>
      </c>
      <c r="O5" s="24" t="n"/>
      <c r="P5" s="24" t="n"/>
    </row>
    <row r="6" ht="13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3" t="inlineStr">
        <is>
          <t>BKK27 / BC2  —  Stock by Built Year x Brand x Size</t>
        </is>
      </c>
      <c r="C8" s="57" t="n"/>
      <c r="D8" s="57" t="n"/>
      <c r="E8" s="57" t="n"/>
      <c r="F8" s="57" t="n"/>
      <c r="G8" s="57" t="n"/>
      <c r="H8" s="58" t="n"/>
      <c r="I8" s="1" t="n"/>
      <c r="J8" s="3" t="inlineStr">
        <is>
          <t>LCH27 / HAST  —  Stock by Built Year x Brand x Size</t>
        </is>
      </c>
      <c r="K8" s="57" t="n"/>
      <c r="L8" s="57" t="n"/>
      <c r="M8" s="57" t="n"/>
      <c r="N8" s="57" t="n"/>
      <c r="O8" s="57" t="n"/>
      <c r="P8" s="58" t="n"/>
    </row>
    <row r="9" ht="26" customHeight="1">
      <c r="A9" s="1" t="n"/>
      <c r="B9" s="19" t="inlineStr">
        <is>
          <t>YEAR
BUILT</t>
        </is>
      </c>
      <c r="C9" s="5" t="inlineStr">
        <is>
          <t>CARRIER</t>
        </is>
      </c>
      <c r="D9" s="58" t="n"/>
      <c r="E9" s="5" t="inlineStr">
        <is>
          <t>DAIKIN</t>
        </is>
      </c>
      <c r="F9" s="58" t="n"/>
      <c r="G9" s="5" t="inlineStr">
        <is>
          <t>THERMO KING</t>
        </is>
      </c>
      <c r="H9" s="58" t="n"/>
      <c r="I9" s="1" t="n"/>
      <c r="J9" s="19" t="inlineStr">
        <is>
          <t>YEAR
BUILT</t>
        </is>
      </c>
      <c r="K9" s="5" t="inlineStr">
        <is>
          <t>CARRIER</t>
        </is>
      </c>
      <c r="L9" s="58" t="n"/>
      <c r="M9" s="5" t="inlineStr">
        <is>
          <t>DAIKIN</t>
        </is>
      </c>
      <c r="N9" s="58" t="n"/>
      <c r="O9" s="5" t="inlineStr">
        <is>
          <t>THERMO KING</t>
        </is>
      </c>
      <c r="P9" s="58" t="n"/>
    </row>
    <row r="10" ht="13" customHeight="1">
      <c r="A10" s="1" t="n"/>
      <c r="B10" s="61" t="n"/>
      <c r="C10" s="29" t="inlineStr">
        <is>
          <t>20'RE</t>
        </is>
      </c>
      <c r="D10" s="29" t="inlineStr">
        <is>
          <t>40'RH</t>
        </is>
      </c>
      <c r="E10" s="29" t="inlineStr">
        <is>
          <t>20'RE</t>
        </is>
      </c>
      <c r="F10" s="29" t="inlineStr">
        <is>
          <t>40'RH</t>
        </is>
      </c>
      <c r="G10" s="29" t="inlineStr">
        <is>
          <t>20'RE</t>
        </is>
      </c>
      <c r="H10" s="29" t="inlineStr">
        <is>
          <t>40'RH</t>
        </is>
      </c>
      <c r="I10" s="1" t="n"/>
      <c r="J10" s="61" t="n"/>
      <c r="K10" s="29" t="inlineStr">
        <is>
          <t>20'RE</t>
        </is>
      </c>
      <c r="L10" s="29" t="inlineStr">
        <is>
          <t>40'RH</t>
        </is>
      </c>
      <c r="M10" s="29" t="inlineStr">
        <is>
          <t>20'RE</t>
        </is>
      </c>
      <c r="N10" s="29" t="inlineStr">
        <is>
          <t>40'RH</t>
        </is>
      </c>
      <c r="O10" s="29" t="inlineStr">
        <is>
          <t>20'RE</t>
        </is>
      </c>
      <c r="P10" s="29" t="inlineStr">
        <is>
          <t>40'RH</t>
        </is>
      </c>
    </row>
    <row r="11" ht="13" customHeight="1">
      <c r="A11" s="1" t="n"/>
      <c r="B11" s="30" t="n">
        <v>2026</v>
      </c>
      <c r="C11" s="31" t="n"/>
      <c r="D11" s="31" t="n"/>
      <c r="E11" s="31" t="n"/>
      <c r="F11" s="31" t="n"/>
      <c r="G11" s="31" t="n"/>
      <c r="H11" s="31" t="n"/>
      <c r="I11" s="1" t="n"/>
      <c r="J11" s="30" t="n">
        <v>2026</v>
      </c>
      <c r="K11" s="31" t="n"/>
      <c r="L11" s="31" t="n"/>
      <c r="M11" s="31" t="n"/>
      <c r="N11" s="31" t="n"/>
      <c r="O11" s="31" t="n"/>
      <c r="P11" s="31" t="n"/>
    </row>
    <row r="12" ht="13" customHeight="1">
      <c r="A12" s="1" t="n"/>
      <c r="B12" s="30" t="n">
        <v>2025</v>
      </c>
      <c r="C12" s="31" t="n"/>
      <c r="D12" s="31" t="n">
        <v>3</v>
      </c>
      <c r="E12" s="31" t="n">
        <v>2</v>
      </c>
      <c r="F12" s="31" t="n"/>
      <c r="G12" s="31" t="n"/>
      <c r="H12" s="31" t="n">
        <v>1</v>
      </c>
      <c r="I12" s="1" t="n"/>
      <c r="J12" s="30" t="n">
        <v>2025</v>
      </c>
      <c r="K12" s="31" t="n"/>
      <c r="L12" s="31" t="n">
        <v>8</v>
      </c>
      <c r="M12" s="31" t="n"/>
      <c r="N12" s="31" t="n"/>
      <c r="O12" s="31" t="n"/>
      <c r="P12" s="31" t="n">
        <v>1</v>
      </c>
    </row>
    <row r="13" ht="13" customHeight="1">
      <c r="A13" s="1" t="n"/>
      <c r="B13" s="30" t="n">
        <v>2024</v>
      </c>
      <c r="C13" s="31" t="n"/>
      <c r="D13" s="31" t="n"/>
      <c r="E13" s="31" t="n"/>
      <c r="F13" s="31" t="n"/>
      <c r="G13" s="31" t="n"/>
      <c r="H13" s="31" t="n"/>
      <c r="I13" s="1" t="n"/>
      <c r="J13" s="30" t="n">
        <v>2024</v>
      </c>
      <c r="K13" s="31" t="n"/>
      <c r="L13" s="31" t="n"/>
      <c r="M13" s="31" t="n"/>
      <c r="N13" s="31" t="n"/>
      <c r="O13" s="31" t="n"/>
      <c r="P13" s="31" t="n"/>
    </row>
    <row r="14" ht="13" customHeight="1">
      <c r="A14" s="1" t="n"/>
      <c r="B14" s="30" t="n">
        <v>2023</v>
      </c>
      <c r="C14" s="31" t="n"/>
      <c r="D14" s="31" t="n">
        <v>1</v>
      </c>
      <c r="E14" s="31" t="n"/>
      <c r="F14" s="31" t="n"/>
      <c r="G14" s="31" t="n"/>
      <c r="H14" s="31" t="n"/>
      <c r="I14" s="1" t="n"/>
      <c r="J14" s="30" t="n">
        <v>2023</v>
      </c>
      <c r="K14" s="31" t="n"/>
      <c r="L14" s="31" t="n"/>
      <c r="M14" s="31" t="n"/>
      <c r="N14" s="31" t="n"/>
      <c r="O14" s="31" t="n"/>
      <c r="P14" s="31" t="n"/>
    </row>
    <row r="15" ht="13" customHeight="1">
      <c r="A15" s="1" t="n"/>
      <c r="B15" s="30" t="n">
        <v>2022</v>
      </c>
      <c r="C15" s="31" t="n"/>
      <c r="D15" s="31" t="n"/>
      <c r="E15" s="31" t="n"/>
      <c r="F15" s="31" t="n"/>
      <c r="G15" s="31" t="n"/>
      <c r="H15" s="31" t="n"/>
      <c r="I15" s="1" t="n"/>
      <c r="J15" s="30" t="n">
        <v>2022</v>
      </c>
      <c r="K15" s="31" t="n"/>
      <c r="L15" s="31" t="n"/>
      <c r="M15" s="31" t="n"/>
      <c r="N15" s="31" t="n"/>
      <c r="O15" s="31" t="n"/>
      <c r="P15" s="31" t="n"/>
    </row>
    <row r="16" ht="13" customHeight="1">
      <c r="A16" s="1" t="n"/>
      <c r="B16" s="30" t="n">
        <v>2021</v>
      </c>
      <c r="C16" s="31" t="n">
        <v>9</v>
      </c>
      <c r="D16" s="31" t="n">
        <v>5</v>
      </c>
      <c r="E16" s="31" t="n"/>
      <c r="F16" s="31" t="n"/>
      <c r="G16" s="31" t="n"/>
      <c r="H16" s="31" t="n"/>
      <c r="I16" s="1" t="n"/>
      <c r="J16" s="30" t="n">
        <v>2021</v>
      </c>
      <c r="K16" s="31" t="n">
        <v>2</v>
      </c>
      <c r="L16" s="31" t="n">
        <v>4</v>
      </c>
      <c r="M16" s="31" t="n"/>
      <c r="N16" s="31" t="n"/>
      <c r="O16" s="31" t="n"/>
      <c r="P16" s="31" t="n"/>
    </row>
    <row r="17" ht="13" customHeight="1">
      <c r="A17" s="1" t="n"/>
      <c r="B17" s="32" t="n">
        <v>2020</v>
      </c>
      <c r="C17" s="33" t="n">
        <v>1</v>
      </c>
      <c r="D17" s="33" t="n">
        <v>5</v>
      </c>
      <c r="E17" s="33" t="n"/>
      <c r="F17" s="33" t="n"/>
      <c r="G17" s="33" t="n"/>
      <c r="H17" s="33" t="n">
        <v>1</v>
      </c>
      <c r="I17" s="1" t="n"/>
      <c r="J17" s="32" t="n">
        <v>2020</v>
      </c>
      <c r="K17" s="33" t="n"/>
      <c r="L17" s="33" t="n">
        <v>9</v>
      </c>
      <c r="M17" s="33" t="n"/>
      <c r="N17" s="33" t="n"/>
      <c r="O17" s="33" t="n"/>
      <c r="P17" s="33" t="n">
        <v>1</v>
      </c>
    </row>
    <row r="18" ht="13" customHeight="1">
      <c r="A18" s="1" t="n"/>
      <c r="B18" s="32" t="n">
        <v>2019</v>
      </c>
      <c r="C18" s="33" t="n">
        <v>3</v>
      </c>
      <c r="D18" s="33" t="n">
        <v>5</v>
      </c>
      <c r="E18" s="33" t="n"/>
      <c r="F18" s="33" t="n"/>
      <c r="G18" s="33" t="n"/>
      <c r="H18" s="33" t="n"/>
      <c r="I18" s="1" t="n"/>
      <c r="J18" s="32" t="n">
        <v>2019</v>
      </c>
      <c r="K18" s="33" t="n"/>
      <c r="L18" s="33" t="n">
        <v>9</v>
      </c>
      <c r="M18" s="33" t="n"/>
      <c r="N18" s="33" t="n"/>
      <c r="O18" s="33" t="n"/>
      <c r="P18" s="33" t="n"/>
    </row>
    <row r="19" ht="13" customHeight="1">
      <c r="A19" s="1" t="n"/>
      <c r="B19" s="32" t="n">
        <v>2018</v>
      </c>
      <c r="C19" s="33" t="n">
        <v>1</v>
      </c>
      <c r="D19" s="33" t="n"/>
      <c r="E19" s="33" t="n"/>
      <c r="F19" s="33" t="n"/>
      <c r="G19" s="33" t="n"/>
      <c r="H19" s="33" t="n"/>
      <c r="I19" s="1" t="n"/>
      <c r="J19" s="32" t="n">
        <v>2018</v>
      </c>
      <c r="K19" s="33" t="n"/>
      <c r="L19" s="33" t="n"/>
      <c r="M19" s="33" t="n"/>
      <c r="N19" s="33" t="n"/>
      <c r="O19" s="33" t="n"/>
      <c r="P19" s="33" t="n"/>
    </row>
    <row r="20" ht="13" customHeight="1">
      <c r="A20" s="1" t="n"/>
      <c r="B20" s="32" t="n">
        <v>2017</v>
      </c>
      <c r="C20" s="33" t="n">
        <v>2</v>
      </c>
      <c r="D20" s="33" t="n">
        <v>1</v>
      </c>
      <c r="E20" s="33" t="n"/>
      <c r="F20" s="33" t="n"/>
      <c r="G20" s="33" t="n"/>
      <c r="H20" s="33" t="n"/>
      <c r="I20" s="1" t="n"/>
      <c r="J20" s="32" t="n">
        <v>2017</v>
      </c>
      <c r="K20" s="33" t="n">
        <v>2</v>
      </c>
      <c r="L20" s="33" t="n">
        <v>2</v>
      </c>
      <c r="M20" s="33" t="n"/>
      <c r="N20" s="33" t="n"/>
      <c r="O20" s="33" t="n"/>
      <c r="P20" s="33" t="n"/>
    </row>
    <row r="21" ht="13" customHeight="1">
      <c r="A21" s="1" t="n"/>
      <c r="B21" s="32" t="n">
        <v>2016</v>
      </c>
      <c r="C21" s="33" t="n">
        <v>2</v>
      </c>
      <c r="D21" s="33" t="n">
        <v>2</v>
      </c>
      <c r="E21" s="33" t="n">
        <v>2</v>
      </c>
      <c r="F21" s="33" t="n"/>
      <c r="G21" s="33" t="n"/>
      <c r="H21" s="33" t="n"/>
      <c r="I21" s="1" t="n"/>
      <c r="J21" s="32" t="n">
        <v>2016</v>
      </c>
      <c r="K21" s="33" t="n"/>
      <c r="L21" s="33" t="n">
        <v>1</v>
      </c>
      <c r="M21" s="33" t="n"/>
      <c r="N21" s="33" t="n"/>
      <c r="O21" s="33" t="n"/>
      <c r="P21" s="33" t="n"/>
    </row>
    <row r="22" ht="13" customHeight="1">
      <c r="A22" s="1" t="n"/>
      <c r="B22" s="34" t="n">
        <v>2015</v>
      </c>
      <c r="C22" s="35" t="n"/>
      <c r="D22" s="35" t="n">
        <v>3</v>
      </c>
      <c r="E22" s="35" t="n">
        <v>2</v>
      </c>
      <c r="F22" s="35" t="n"/>
      <c r="G22" s="35" t="n"/>
      <c r="H22" s="35" t="n"/>
      <c r="I22" s="1" t="n"/>
      <c r="J22" s="34" t="n">
        <v>2015</v>
      </c>
      <c r="K22" s="35" t="n"/>
      <c r="L22" s="35" t="n">
        <v>1</v>
      </c>
      <c r="M22" s="35" t="n"/>
      <c r="N22" s="35" t="n"/>
      <c r="O22" s="35" t="n"/>
      <c r="P22" s="35" t="n"/>
    </row>
    <row r="23" ht="13" customHeight="1">
      <c r="A23" s="1" t="n"/>
      <c r="B23" s="34" t="n">
        <v>2014</v>
      </c>
      <c r="C23" s="35" t="n">
        <v>2</v>
      </c>
      <c r="D23" s="35" t="n"/>
      <c r="E23" s="35" t="n"/>
      <c r="F23" s="35" t="n"/>
      <c r="G23" s="35" t="n"/>
      <c r="H23" s="35" t="n"/>
      <c r="I23" s="1" t="n"/>
      <c r="J23" s="34" t="n">
        <v>2014</v>
      </c>
      <c r="K23" s="35" t="n"/>
      <c r="L23" s="35" t="n">
        <v>5</v>
      </c>
      <c r="M23" s="35" t="n"/>
      <c r="N23" s="35" t="n"/>
      <c r="O23" s="35" t="n"/>
      <c r="P23" s="35" t="n"/>
    </row>
    <row r="24" ht="13" customHeight="1">
      <c r="A24" s="1" t="n"/>
      <c r="B24" s="34" t="n">
        <v>2013</v>
      </c>
      <c r="C24" s="35" t="n">
        <v>1</v>
      </c>
      <c r="D24" s="35" t="n"/>
      <c r="E24" s="35" t="n">
        <v>4</v>
      </c>
      <c r="F24" s="35" t="n">
        <v>2</v>
      </c>
      <c r="G24" s="35" t="n">
        <v>2</v>
      </c>
      <c r="H24" s="35" t="n">
        <v>2</v>
      </c>
      <c r="I24" s="1" t="n"/>
      <c r="J24" s="34" t="n">
        <v>2013</v>
      </c>
      <c r="K24" s="35" t="n"/>
      <c r="L24" s="35" t="n"/>
      <c r="M24" s="35" t="n">
        <v>2</v>
      </c>
      <c r="N24" s="35" t="n">
        <v>3</v>
      </c>
      <c r="O24" s="35" t="n"/>
      <c r="P24" s="35" t="n"/>
    </row>
    <row r="25" ht="13" customHeight="1">
      <c r="A25" s="1" t="n"/>
      <c r="B25" s="34" t="n">
        <v>2012</v>
      </c>
      <c r="C25" s="35" t="n">
        <v>1</v>
      </c>
      <c r="D25" s="35" t="n">
        <v>2</v>
      </c>
      <c r="E25" s="35" t="n"/>
      <c r="F25" s="35" t="n"/>
      <c r="G25" s="35" t="n"/>
      <c r="H25" s="35" t="n"/>
      <c r="I25" s="1" t="n"/>
      <c r="J25" s="34" t="n">
        <v>2012</v>
      </c>
      <c r="K25" s="35" t="n"/>
      <c r="L25" s="35" t="n">
        <v>3</v>
      </c>
      <c r="M25" s="35" t="n">
        <v>1</v>
      </c>
      <c r="N25" s="35" t="n"/>
      <c r="O25" s="35" t="n"/>
      <c r="P25" s="35" t="n"/>
    </row>
    <row r="26" ht="13" customHeight="1">
      <c r="A26" s="1" t="n"/>
      <c r="B26" s="34" t="n">
        <v>2011</v>
      </c>
      <c r="C26" s="35" t="n"/>
      <c r="D26" s="35" t="n"/>
      <c r="E26" s="35" t="n"/>
      <c r="F26" s="35" t="n">
        <v>4</v>
      </c>
      <c r="G26" s="35" t="n"/>
      <c r="H26" s="35" t="n"/>
      <c r="I26" s="1" t="n"/>
      <c r="J26" s="34" t="n">
        <v>2011</v>
      </c>
      <c r="K26" s="35" t="n"/>
      <c r="L26" s="35" t="n"/>
      <c r="M26" s="35" t="n"/>
      <c r="N26" s="35" t="n">
        <v>5</v>
      </c>
      <c r="O26" s="35" t="n"/>
      <c r="P26" s="35" t="n"/>
    </row>
    <row r="27" ht="13" customHeight="1">
      <c r="A27" s="1" t="n"/>
      <c r="B27" s="36" t="n">
        <v>2010</v>
      </c>
      <c r="C27" s="37" t="n"/>
      <c r="D27" s="37" t="n">
        <v>1</v>
      </c>
      <c r="E27" s="37" t="n"/>
      <c r="F27" s="37" t="n"/>
      <c r="G27" s="37" t="n"/>
      <c r="H27" s="37" t="n"/>
      <c r="I27" s="1" t="n"/>
      <c r="J27" s="36" t="n">
        <v>2010</v>
      </c>
      <c r="K27" s="37" t="n"/>
      <c r="L27" s="37" t="n">
        <v>1</v>
      </c>
      <c r="M27" s="37" t="n"/>
      <c r="N27" s="37" t="n"/>
      <c r="O27" s="37" t="n"/>
      <c r="P27" s="37" t="n"/>
    </row>
    <row r="28" ht="13" customHeight="1">
      <c r="A28" s="1" t="n"/>
      <c r="B28" s="17" t="inlineStr">
        <is>
          <t>GTTL</t>
        </is>
      </c>
      <c r="C28" s="17" t="n">
        <v>22</v>
      </c>
      <c r="D28" s="17" t="n">
        <v>28</v>
      </c>
      <c r="E28" s="17" t="n">
        <v>10</v>
      </c>
      <c r="F28" s="17" t="n">
        <v>6</v>
      </c>
      <c r="G28" s="17" t="n">
        <v>2</v>
      </c>
      <c r="H28" s="17" t="n">
        <v>4</v>
      </c>
      <c r="I28" s="1" t="n"/>
      <c r="J28" s="17" t="inlineStr">
        <is>
          <t>GTTL</t>
        </is>
      </c>
      <c r="K28" s="17" t="n">
        <v>4</v>
      </c>
      <c r="L28" s="17" t="n">
        <v>43</v>
      </c>
      <c r="M28" s="17" t="n">
        <v>3</v>
      </c>
      <c r="N28" s="17" t="n">
        <v>8</v>
      </c>
      <c r="O28" s="17" t="n"/>
      <c r="P28" s="17" t="n">
        <v>2</v>
      </c>
    </row>
  </sheetData>
  <mergeCells count="10">
    <mergeCell ref="B8:H8"/>
    <mergeCell ref="B9:B10"/>
    <mergeCell ref="J8:P8"/>
    <mergeCell ref="J9:J10"/>
    <mergeCell ref="K9:L9"/>
    <mergeCell ref="M9:N9"/>
    <mergeCell ref="O9:P9"/>
    <mergeCell ref="C9:D9"/>
    <mergeCell ref="G9:H9"/>
    <mergeCell ref="E9:F9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2.5" customWidth="1" min="5" max="5"/>
    <col width="22" customWidth="1" min="8" max="8"/>
    <col width="9" customWidth="1" min="9" max="9"/>
    <col width="9" customWidth="1" min="10" max="10"/>
    <col width="2.5" customWidth="1" min="13" max="13"/>
  </cols>
  <sheetData>
    <row r="1" ht="13" customHeight="1">
      <c r="A1" s="1" t="n"/>
      <c r="B1" s="38">
        <f>'TOTAL RH'!A1</f>
        <v/>
      </c>
      <c r="M1" s="1" t="n"/>
      <c r="N1" s="1" t="n"/>
      <c r="O1" s="1" t="n"/>
      <c r="P1" s="1" t="n"/>
    </row>
    <row r="2" ht="13" customHeight="1">
      <c r="A2" s="1" t="n"/>
      <c r="M2" s="1" t="n"/>
      <c r="N2" s="1" t="n"/>
      <c r="O2" s="1" t="n"/>
      <c r="P2" s="1" t="n"/>
    </row>
    <row r="3" ht="13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3" customHeight="1">
      <c r="A4" s="1" t="n"/>
      <c r="B4" s="40" t="inlineStr">
        <is>
          <t>SHORTFALL ALERT</t>
        </is>
      </c>
      <c r="C4" s="24" t="n"/>
      <c r="D4" s="24" t="n"/>
      <c r="E4" s="1" t="n"/>
      <c r="F4" s="40" t="inlineStr">
        <is>
          <t>COMBINED 40'RH STOCK</t>
        </is>
      </c>
      <c r="G4" s="24" t="n"/>
      <c r="H4" s="24" t="n"/>
      <c r="I4" s="1" t="n"/>
      <c r="J4" s="40" t="inlineStr">
        <is>
          <t>COMBINED 40'RH BOOKING</t>
        </is>
      </c>
      <c r="K4" s="24" t="n"/>
      <c r="L4" s="24" t="n"/>
      <c r="M4" s="1" t="n"/>
      <c r="N4" s="1" t="n"/>
      <c r="O4" s="1" t="n"/>
      <c r="P4" s="1" t="n"/>
    </row>
    <row r="5" ht="13" customHeight="1">
      <c r="A5" s="1" t="n"/>
      <c r="B5" s="41">
        <f>MIN('TOTAL RH'!D17,'TOTAL RH'!J17)</f>
        <v/>
      </c>
      <c r="C5" s="24" t="n"/>
      <c r="D5" s="24" t="n"/>
      <c r="E5" s="1" t="n"/>
      <c r="F5" s="42">
        <f>'TOTAL RH'!O6</f>
        <v/>
      </c>
      <c r="G5" s="24" t="n"/>
      <c r="H5" s="24" t="n"/>
      <c r="I5" s="1" t="n"/>
      <c r="J5" s="42">
        <f>'TOTAL RH'!O11</f>
        <v/>
      </c>
      <c r="K5" s="24" t="n"/>
      <c r="L5" s="24" t="n"/>
      <c r="M5" s="1" t="n"/>
      <c r="N5" s="1" t="n"/>
      <c r="O5" s="1" t="n"/>
      <c r="P5" s="1" t="n"/>
    </row>
    <row r="6" ht="13" customHeight="1">
      <c r="A6" s="1" t="n"/>
      <c r="B6" s="43">
        <f>"BKK27/LCH27 40'RH, worse "&amp;'TOTAL RH'!B17</f>
        <v/>
      </c>
      <c r="C6" s="24" t="n"/>
      <c r="D6" s="24" t="n"/>
      <c r="E6" s="1" t="n"/>
      <c r="F6" s="43" t="inlineStr">
        <is>
          <t>BKK27 + LCH27</t>
        </is>
      </c>
      <c r="G6" s="24" t="n"/>
      <c r="H6" s="24" t="n"/>
      <c r="I6" s="1" t="n"/>
      <c r="J6" s="43" t="inlineStr">
        <is>
          <t>pending + all weeks</t>
        </is>
      </c>
      <c r="K6" s="24" t="n"/>
      <c r="L6" s="24" t="n"/>
      <c r="M6" s="1" t="n"/>
      <c r="N6" s="1" t="n"/>
      <c r="O6" s="1" t="n"/>
      <c r="P6" s="1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44" t="inlineStr">
        <is>
          <t>DETAIL BY DEPOT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3" customHeight="1">
      <c r="A9" s="1" t="n"/>
      <c r="B9" s="45">
        <f>'TOTAL RH'!B3</f>
        <v/>
      </c>
      <c r="C9" s="62" t="n"/>
      <c r="D9" s="63" t="n"/>
      <c r="E9" s="1" t="n"/>
      <c r="F9" s="1" t="n"/>
      <c r="G9" s="1" t="n"/>
      <c r="H9" s="46">
        <f>'TOTAL RH'!H3</f>
        <v/>
      </c>
      <c r="I9" s="62" t="n"/>
      <c r="J9" s="63" t="n"/>
      <c r="K9" s="1" t="n"/>
      <c r="L9" s="1" t="n"/>
      <c r="M9" s="1" t="n"/>
      <c r="N9" s="1" t="n"/>
      <c r="O9" s="1" t="n"/>
      <c r="P9" s="1" t="n"/>
    </row>
    <row r="10" ht="13" customHeight="1">
      <c r="A10" s="1" t="n"/>
      <c r="B10" s="24" t="n"/>
      <c r="C10" s="47" t="inlineStr">
        <is>
          <t>20'RE</t>
        </is>
      </c>
      <c r="D10" s="47" t="inlineStr">
        <is>
          <t>40'RH</t>
        </is>
      </c>
      <c r="E10" s="1" t="n"/>
      <c r="F10" s="1" t="n"/>
      <c r="G10" s="1" t="n"/>
      <c r="H10" s="24" t="n"/>
      <c r="I10" s="47" t="inlineStr">
        <is>
          <t>20'RE</t>
        </is>
      </c>
      <c r="J10" s="47" t="inlineStr">
        <is>
          <t>40'RH</t>
        </is>
      </c>
      <c r="K10" s="1" t="n"/>
      <c r="L10" s="1" t="n"/>
      <c r="M10" s="1" t="n"/>
      <c r="N10" s="1" t="n"/>
      <c r="O10" s="1" t="n"/>
      <c r="P10" s="1" t="n"/>
    </row>
    <row r="11" ht="13" customHeight="1">
      <c r="A11" s="1" t="n"/>
      <c r="B11" s="48">
        <f>'TOTAL RH'!B5</f>
        <v/>
      </c>
      <c r="C11" s="49">
        <f>'TOTAL RH'!C5</f>
        <v/>
      </c>
      <c r="D11" s="49">
        <f>'TOTAL RH'!D5</f>
        <v/>
      </c>
      <c r="E11" s="1" t="n"/>
      <c r="F11" s="1" t="n"/>
      <c r="G11" s="1" t="n"/>
      <c r="H11" s="48">
        <f>'TOTAL RH'!H5</f>
        <v/>
      </c>
      <c r="I11" s="49">
        <f>'TOTAL RH'!I5</f>
        <v/>
      </c>
      <c r="J11" s="49">
        <f>'TOTAL RH'!J5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50">
        <f>'TOTAL RH'!B6</f>
        <v/>
      </c>
      <c r="C12" s="51">
        <f>'TOTAL RH'!C6</f>
        <v/>
      </c>
      <c r="D12" s="51">
        <f>'TOTAL RH'!D6</f>
        <v/>
      </c>
      <c r="E12" s="1" t="n"/>
      <c r="F12" s="1" t="n"/>
      <c r="G12" s="1" t="n"/>
      <c r="H12" s="50">
        <f>'TOTAL RH'!H6</f>
        <v/>
      </c>
      <c r="I12" s="51">
        <f>'TOTAL RH'!I6</f>
        <v/>
      </c>
      <c r="J12" s="51">
        <f>'TOTAL RH'!J6</f>
        <v/>
      </c>
      <c r="K12" s="1" t="n"/>
      <c r="L12" s="1" t="n"/>
      <c r="M12" s="1" t="n"/>
      <c r="N12" s="1" t="n"/>
      <c r="O12" s="1" t="n"/>
      <c r="P12" s="1" t="n"/>
    </row>
    <row r="13" ht="13" customHeight="1">
      <c r="A13" s="1" t="n"/>
      <c r="B13" s="50">
        <f>'TOTAL RH'!B7</f>
        <v/>
      </c>
      <c r="C13" s="51">
        <f>'TOTAL RH'!C7</f>
        <v/>
      </c>
      <c r="D13" s="51">
        <f>'TOTAL RH'!D7</f>
        <v/>
      </c>
      <c r="E13" s="1" t="n"/>
      <c r="F13" s="1" t="n"/>
      <c r="G13" s="1" t="n"/>
      <c r="H13" s="50">
        <f>'TOTAL RH'!H7</f>
        <v/>
      </c>
      <c r="I13" s="51">
        <f>'TOTAL RH'!I7</f>
        <v/>
      </c>
      <c r="J13" s="51">
        <f>'TOTAL RH'!J7</f>
        <v/>
      </c>
      <c r="K13" s="1" t="n"/>
      <c r="L13" s="1" t="n"/>
      <c r="M13" s="1" t="n"/>
      <c r="N13" s="1" t="n"/>
      <c r="O13" s="1" t="n"/>
      <c r="P13" s="1" t="n"/>
    </row>
    <row r="14" ht="13" customHeight="1">
      <c r="A14" s="1" t="n"/>
      <c r="B14" s="52">
        <f>'TOTAL RH'!B8</f>
        <v/>
      </c>
      <c r="C14" s="53">
        <f>'TOTAL RH'!C8</f>
        <v/>
      </c>
      <c r="D14" s="53">
        <f>'TOTAL RH'!D8</f>
        <v/>
      </c>
      <c r="E14" s="1" t="n"/>
      <c r="F14" s="1" t="n"/>
      <c r="G14" s="1" t="n"/>
      <c r="H14" s="52">
        <f>'TOTAL RH'!H8</f>
        <v/>
      </c>
      <c r="I14" s="53">
        <f>'TOTAL RH'!I8</f>
        <v/>
      </c>
      <c r="J14" s="53">
        <f>'TOTAL RH'!J8</f>
        <v/>
      </c>
      <c r="K14" s="1" t="n"/>
      <c r="L14" s="1" t="n"/>
      <c r="M14" s="1" t="n"/>
      <c r="N14" s="1" t="n"/>
      <c r="O14" s="1" t="n"/>
      <c r="P14" s="1" t="n"/>
    </row>
    <row r="15" ht="13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</row>
    <row r="16" ht="13" customHeight="1">
      <c r="A16" s="1" t="n"/>
      <c r="B16" s="50">
        <f>'TOTAL RH'!B10</f>
        <v/>
      </c>
      <c r="C16" s="51">
        <f>'TOTAL RH'!C10</f>
        <v/>
      </c>
      <c r="D16" s="51">
        <f>'TOTAL RH'!D10</f>
        <v/>
      </c>
      <c r="E16" s="1" t="n"/>
      <c r="F16" s="1" t="n"/>
      <c r="G16" s="1" t="n"/>
      <c r="H16" s="50">
        <f>'TOTAL RH'!H10</f>
        <v/>
      </c>
      <c r="I16" s="51">
        <f>'TOTAL RH'!I10</f>
        <v/>
      </c>
      <c r="J16" s="51">
        <f>'TOTAL RH'!J10</f>
        <v/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52">
        <f>'TOTAL RH'!B11</f>
        <v/>
      </c>
      <c r="C17" s="53">
        <f>'TOTAL RH'!C11</f>
        <v/>
      </c>
      <c r="D17" s="53">
        <f>'TOTAL RH'!D11</f>
        <v/>
      </c>
      <c r="E17" s="1" t="n"/>
      <c r="F17" s="1" t="n"/>
      <c r="G17" s="1" t="n"/>
      <c r="H17" s="52">
        <f>'TOTAL RH'!H11</f>
        <v/>
      </c>
      <c r="I17" s="53">
        <f>'TOTAL RH'!I11</f>
        <v/>
      </c>
      <c r="J17" s="53">
        <f>'TOTAL RH'!J11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50">
        <f>'TOTAL RH'!B13</f>
        <v/>
      </c>
      <c r="C19" s="51">
        <f>'TOTAL RH'!C13</f>
        <v/>
      </c>
      <c r="D19" s="51">
        <f>'TOTAL RH'!D13</f>
        <v/>
      </c>
      <c r="E19" s="1" t="n"/>
      <c r="F19" s="1" t="n"/>
      <c r="G19" s="1" t="n"/>
      <c r="H19" s="50">
        <f>'TOTAL RH'!H13</f>
        <v/>
      </c>
      <c r="I19" s="51">
        <f>'TOTAL RH'!I13</f>
        <v/>
      </c>
      <c r="J19" s="51">
        <f>'TOTAL RH'!J13</f>
        <v/>
      </c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52">
        <f>'TOTAL RH'!B14</f>
        <v/>
      </c>
      <c r="C20" s="53">
        <f>'TOTAL RH'!C14</f>
        <v/>
      </c>
      <c r="D20" s="64">
        <f>'TOTAL RH'!D14</f>
        <v/>
      </c>
      <c r="E20" s="1" t="n"/>
      <c r="F20" s="1" t="n"/>
      <c r="G20" s="1" t="n"/>
      <c r="H20" s="52">
        <f>'TOTAL RH'!H14</f>
        <v/>
      </c>
      <c r="I20" s="53">
        <f>'TOTAL RH'!I14</f>
        <v/>
      </c>
      <c r="J20" s="64">
        <f>'TOTAL RH'!J14</f>
        <v/>
      </c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 ht="13" customHeight="1">
      <c r="A22" s="1" t="n"/>
      <c r="B22" s="50">
        <f>'TOTAL RH'!B16</f>
        <v/>
      </c>
      <c r="C22" s="51">
        <f>'TOTAL RH'!C16</f>
        <v/>
      </c>
      <c r="D22" s="51">
        <f>'TOTAL RH'!D16</f>
        <v/>
      </c>
      <c r="E22" s="1" t="n"/>
      <c r="F22" s="1" t="n"/>
      <c r="G22" s="1" t="n"/>
      <c r="H22" s="50">
        <f>'TOTAL RH'!H16</f>
        <v/>
      </c>
      <c r="I22" s="51">
        <f>'TOTAL RH'!I16</f>
        <v/>
      </c>
      <c r="J22" s="51">
        <f>'TOTAL RH'!J16</f>
        <v/>
      </c>
      <c r="K22" s="1" t="n"/>
      <c r="L22" s="1" t="n"/>
      <c r="M22" s="1" t="n"/>
      <c r="N22" s="1" t="n"/>
      <c r="O22" s="1" t="n"/>
      <c r="P22" s="1" t="n"/>
    </row>
    <row r="23" ht="13" customHeight="1">
      <c r="A23" s="1" t="n"/>
      <c r="B23" s="52">
        <f>'TOTAL RH'!B17</f>
        <v/>
      </c>
      <c r="C23" s="53">
        <f>'TOTAL RH'!C17</f>
        <v/>
      </c>
      <c r="D23" s="64">
        <f>'TOTAL RH'!D17</f>
        <v/>
      </c>
      <c r="E23" s="1" t="n"/>
      <c r="F23" s="1" t="n"/>
      <c r="G23" s="1" t="n"/>
      <c r="H23" s="52">
        <f>'TOTAL RH'!H17</f>
        <v/>
      </c>
      <c r="I23" s="53">
        <f>'TOTAL RH'!I17</f>
        <v/>
      </c>
      <c r="J23" s="64">
        <f>'TOTAL RH'!J17</f>
        <v/>
      </c>
      <c r="K23" s="1" t="n"/>
      <c r="L23" s="1" t="n"/>
      <c r="M23" s="1" t="n"/>
      <c r="N23" s="1" t="n"/>
      <c r="O23" s="1" t="n"/>
      <c r="P23" s="1" t="n"/>
    </row>
    <row r="24" ht="13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3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 ht="13" customHeight="1">
      <c r="A26" s="1" t="n"/>
      <c r="B26" s="44" t="inlineStr">
        <is>
          <t>REMARKS  (AV = move code IED/IEP/IER, DMG = move code OER)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 ht="13" customHeight="1">
      <c r="A27" s="1" t="n"/>
      <c r="B27" s="45">
        <f>'TOTAL RH'!B3</f>
        <v/>
      </c>
      <c r="C27" s="62" t="n"/>
      <c r="D27" s="63" t="n"/>
      <c r="E27" s="1" t="n"/>
      <c r="F27" s="1" t="n"/>
      <c r="G27" s="1" t="n"/>
      <c r="H27" s="46">
        <f>'TOTAL RH'!H3</f>
        <v/>
      </c>
      <c r="I27" s="62" t="n"/>
      <c r="J27" s="63" t="n"/>
      <c r="K27" s="1" t="n"/>
      <c r="L27" s="1" t="n"/>
      <c r="M27" s="1" t="n"/>
      <c r="N27" s="1" t="n"/>
      <c r="O27" s="1" t="n"/>
      <c r="P27" s="1" t="n"/>
    </row>
    <row r="28" ht="13" customHeight="1">
      <c r="A28" s="1" t="n"/>
      <c r="B28" s="24" t="n"/>
      <c r="C28" s="47" t="inlineStr">
        <is>
          <t>20'RE</t>
        </is>
      </c>
      <c r="D28" s="47" t="inlineStr">
        <is>
          <t>40'RH</t>
        </is>
      </c>
      <c r="E28" s="1" t="n"/>
      <c r="F28" s="1" t="n"/>
      <c r="G28" s="1" t="n"/>
      <c r="H28" s="24" t="n"/>
      <c r="I28" s="47" t="inlineStr">
        <is>
          <t>20'RE</t>
        </is>
      </c>
      <c r="J28" s="47" t="inlineStr">
        <is>
          <t>40'RH</t>
        </is>
      </c>
      <c r="K28" s="1" t="n"/>
      <c r="L28" s="1" t="n"/>
      <c r="M28" s="1" t="n"/>
      <c r="N28" s="1" t="n"/>
      <c r="O28" s="1" t="n"/>
      <c r="P28" s="1" t="n"/>
    </row>
    <row r="29" ht="13" customHeight="1">
      <c r="A29" s="1" t="n"/>
      <c r="B29" s="24" t="inlineStr">
        <is>
          <t>AV</t>
        </is>
      </c>
      <c r="C29" s="51">
        <f>'TOTAL RH'!C21</f>
        <v/>
      </c>
      <c r="D29" s="51">
        <f>'TOTAL RH'!D21</f>
        <v/>
      </c>
      <c r="E29" s="1" t="n"/>
      <c r="F29" s="1" t="n"/>
      <c r="G29" s="1" t="n"/>
      <c r="H29" s="24" t="inlineStr">
        <is>
          <t>AV</t>
        </is>
      </c>
      <c r="I29" s="51">
        <f>'TOTAL RH'!I21</f>
        <v/>
      </c>
      <c r="J29" s="51">
        <f>'TOTAL RH'!J21</f>
        <v/>
      </c>
      <c r="K29" s="1" t="n"/>
      <c r="L29" s="1" t="n"/>
      <c r="M29" s="1" t="n"/>
      <c r="N29" s="1" t="n"/>
      <c r="O29" s="1" t="n"/>
      <c r="P29" s="1" t="n"/>
    </row>
    <row r="30" ht="13" customHeight="1">
      <c r="A30" s="1" t="n"/>
      <c r="B30" s="24" t="inlineStr">
        <is>
          <t>DMG</t>
        </is>
      </c>
      <c r="C30" s="51">
        <f>'TOTAL RH'!C22</f>
        <v/>
      </c>
      <c r="D30" s="51">
        <f>'TOTAL RH'!D22</f>
        <v/>
      </c>
      <c r="E30" s="1" t="n"/>
      <c r="F30" s="1" t="n"/>
      <c r="G30" s="1" t="n"/>
      <c r="H30" s="24" t="inlineStr">
        <is>
          <t>DMG</t>
        </is>
      </c>
      <c r="I30" s="51">
        <f>'TOTAL RH'!I22</f>
        <v/>
      </c>
      <c r="J30" s="51">
        <f>'TOTAL RH'!J22</f>
        <v/>
      </c>
      <c r="K30" s="1" t="n"/>
      <c r="L30" s="1" t="n"/>
      <c r="M30" s="1" t="n"/>
      <c r="N30" s="1" t="n"/>
      <c r="O30" s="1" t="n"/>
      <c r="P30" s="1" t="n"/>
    </row>
    <row r="31" ht="13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3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3" customHeight="1">
      <c r="A33" s="1" t="n"/>
      <c r="B33" s="44" t="inlineStr">
        <is>
          <t>RF SEASONAL — build year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3" customHeight="1">
      <c r="A34" s="1" t="n"/>
      <c r="B34" s="40" t="inlineStr">
        <is>
          <t>BKK27 2020-26 BUILT</t>
        </is>
      </c>
      <c r="C34" s="24" t="n"/>
      <c r="D34" s="24" t="n"/>
      <c r="E34" s="1" t="n"/>
      <c r="F34" s="40" t="inlineStr">
        <is>
          <t>LCH27 2020-26 BUILT</t>
        </is>
      </c>
      <c r="G34" s="24" t="n"/>
      <c r="H34" s="24" t="n"/>
      <c r="I34" s="1" t="n"/>
      <c r="J34" s="40" t="inlineStr">
        <is>
          <t>PEAK BUILD YEAR</t>
        </is>
      </c>
      <c r="K34" s="24" t="n"/>
      <c r="L34" s="24" t="n"/>
      <c r="M34" s="1" t="n"/>
      <c r="N34" s="1" t="n"/>
      <c r="O34" s="1" t="n"/>
      <c r="P34" s="1" t="n"/>
    </row>
    <row r="35" ht="13" customHeight="1">
      <c r="A35" s="1" t="n"/>
      <c r="B35" s="54">
        <f>SUM('YEAR BUILT'!D11:D17)+SUM('YEAR BUILT'!F11:F17)+SUM('YEAR BUILT'!H11:H17)</f>
        <v/>
      </c>
      <c r="C35" s="24" t="n"/>
      <c r="D35" s="24" t="n"/>
      <c r="E35" s="1" t="n"/>
      <c r="F35" s="55">
        <f>SUM('YEAR BUILT'!L11:L17)+SUM('YEAR BUILT'!N11:N17)+SUM('YEAR BUILT'!P11:P17)</f>
        <v/>
      </c>
      <c r="G35" s="24" t="n"/>
      <c r="H35" s="24" t="n"/>
      <c r="I35" s="1" t="n"/>
      <c r="J35" s="42">
        <f>"2020"</f>
        <v/>
      </c>
      <c r="K35" s="24" t="n"/>
      <c r="L35" s="24" t="n"/>
      <c r="M35" s="1" t="n"/>
      <c r="N35" s="1" t="n"/>
      <c r="O35" s="1" t="n"/>
      <c r="P35" s="1" t="n"/>
    </row>
    <row r="36" ht="13" customHeight="1">
      <c r="A36" s="1" t="n"/>
      <c r="B36" s="43" t="inlineStr">
        <is>
          <t>of 40'RH on hand</t>
        </is>
      </c>
      <c r="C36" s="24" t="n"/>
      <c r="D36" s="24" t="n"/>
      <c r="E36" s="1" t="n"/>
      <c r="F36" s="43" t="inlineStr">
        <is>
          <t>of 40'RH on hand</t>
        </is>
      </c>
      <c r="G36" s="24" t="n"/>
      <c r="H36" s="24" t="n"/>
      <c r="I36" s="1" t="n"/>
      <c r="J36" s="43" t="inlineStr">
        <is>
          <t>16 units across both depots</t>
        </is>
      </c>
      <c r="K36" s="24" t="n"/>
      <c r="L36" s="24" t="n"/>
      <c r="M36" s="1" t="n"/>
      <c r="N36" s="1" t="n"/>
      <c r="O36" s="1" t="n"/>
      <c r="P36" s="1" t="n"/>
    </row>
    <row r="37" ht="13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3" customHeight="1">
      <c r="A38" s="1" t="n"/>
      <c r="B38" s="40" t="inlineStr">
        <is>
          <t>BKK27 DURIAN  (2021-2026)</t>
        </is>
      </c>
      <c r="C38" s="24" t="n"/>
      <c r="D38" s="24" t="n"/>
      <c r="E38" s="1" t="n"/>
      <c r="F38" s="40" t="inlineStr">
        <is>
          <t>BKK27 NON DURIAN  (≤ 2020)</t>
        </is>
      </c>
      <c r="G38" s="24" t="n"/>
      <c r="H38" s="24" t="n"/>
      <c r="I38" s="1" t="n"/>
      <c r="J38" s="40" t="inlineStr">
        <is>
          <t>LCH27 DURIAN  (2021-2026)</t>
        </is>
      </c>
      <c r="K38" s="24" t="n"/>
      <c r="L38" s="24" t="n"/>
      <c r="M38" s="1" t="n"/>
      <c r="N38" s="40" t="inlineStr">
        <is>
          <t>LCH27 NON DURIAN  (≤ 2020)</t>
        </is>
      </c>
      <c r="O38" s="24" t="n"/>
      <c r="P38" s="24" t="n"/>
    </row>
    <row r="39" ht="13" customHeight="1">
      <c r="A39" s="1" t="n"/>
      <c r="B39" s="54">
        <f>'YEAR BUILT'!B4</f>
        <v/>
      </c>
      <c r="C39" s="24" t="n"/>
      <c r="D39" s="24" t="n"/>
      <c r="E39" s="1" t="n"/>
      <c r="F39" s="54">
        <f>'YEAR BUILT'!F4</f>
        <v/>
      </c>
      <c r="G39" s="24" t="n"/>
      <c r="H39" s="24" t="n"/>
      <c r="I39" s="1" t="n"/>
      <c r="J39" s="55">
        <f>'YEAR BUILT'!J4</f>
        <v/>
      </c>
      <c r="K39" s="24" t="n"/>
      <c r="L39" s="24" t="n"/>
      <c r="M39" s="1" t="n"/>
      <c r="N39" s="55">
        <f>'YEAR BUILT'!N4</f>
        <v/>
      </c>
      <c r="O39" s="24" t="n"/>
      <c r="P39" s="24" t="n"/>
    </row>
    <row r="40" ht="13" customHeight="1">
      <c r="A40" s="1" t="n"/>
      <c r="B40" s="43" t="inlineStr">
        <is>
          <t>40'RH stock</t>
        </is>
      </c>
      <c r="C40" s="24" t="n"/>
      <c r="D40" s="24" t="n"/>
      <c r="E40" s="1" t="n"/>
      <c r="F40" s="43" t="inlineStr">
        <is>
          <t>40'RH stock</t>
        </is>
      </c>
      <c r="G40" s="24" t="n"/>
      <c r="H40" s="24" t="n"/>
      <c r="I40" s="1" t="n"/>
      <c r="J40" s="43" t="inlineStr">
        <is>
          <t>40'RH stock</t>
        </is>
      </c>
      <c r="K40" s="24" t="n"/>
      <c r="L40" s="24" t="n"/>
      <c r="M40" s="1" t="n"/>
      <c r="N40" s="43" t="inlineStr">
        <is>
          <t>40'RH stock</t>
        </is>
      </c>
      <c r="O40" s="24" t="n"/>
      <c r="P40" s="24" t="n"/>
    </row>
    <row r="41" ht="13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 ht="13" customHeight="1">
      <c r="A42" s="1" t="n"/>
      <c r="B42" s="45" t="inlineStr">
        <is>
          <t>BKK27 current mix</t>
        </is>
      </c>
      <c r="C42" s="62" t="n"/>
      <c r="D42" s="63" t="n"/>
      <c r="E42" s="1" t="n"/>
      <c r="F42" s="1" t="n"/>
      <c r="G42" s="1" t="n"/>
      <c r="H42" s="46" t="inlineStr">
        <is>
          <t>LCH27 current mix</t>
        </is>
      </c>
      <c r="I42" s="62" t="n"/>
      <c r="J42" s="63" t="n"/>
      <c r="K42" s="1" t="n"/>
      <c r="L42" s="1" t="n"/>
      <c r="M42" s="1" t="n"/>
      <c r="N42" s="1" t="n"/>
      <c r="O42" s="1" t="n"/>
      <c r="P42" s="1" t="n"/>
    </row>
    <row r="43" ht="13" customHeight="1">
      <c r="A43" s="1" t="n"/>
      <c r="B43" s="24" t="n"/>
      <c r="C43" s="47" t="inlineStr">
        <is>
          <t>22RE</t>
        </is>
      </c>
      <c r="D43" s="47" t="inlineStr">
        <is>
          <t>45RE</t>
        </is>
      </c>
      <c r="E43" s="1" t="n"/>
      <c r="F43" s="1" t="n"/>
      <c r="G43" s="1" t="n"/>
      <c r="H43" s="24" t="n"/>
      <c r="I43" s="47" t="inlineStr">
        <is>
          <t>22RE</t>
        </is>
      </c>
      <c r="J43" s="47" t="inlineStr">
        <is>
          <t>45RE</t>
        </is>
      </c>
      <c r="K43" s="1" t="n"/>
      <c r="L43" s="1" t="n"/>
      <c r="M43" s="1" t="n"/>
      <c r="N43" s="1" t="n"/>
      <c r="O43" s="1" t="n"/>
      <c r="P43" s="1" t="n"/>
    </row>
    <row r="44" ht="13" customHeight="1">
      <c r="A44" s="1" t="n"/>
      <c r="B44" s="24" t="inlineStr">
        <is>
          <t>CARRIER</t>
        </is>
      </c>
      <c r="C44" s="51">
        <f>'YEAR BUILT'!C28</f>
        <v/>
      </c>
      <c r="D44" s="51">
        <f>'YEAR BUILT'!D28</f>
        <v/>
      </c>
      <c r="E44" s="1" t="n"/>
      <c r="F44" s="1" t="n"/>
      <c r="G44" s="1" t="n"/>
      <c r="H44" s="24" t="inlineStr">
        <is>
          <t>CARRIER</t>
        </is>
      </c>
      <c r="I44" s="51">
        <f>'YEAR BUILT'!K28</f>
        <v/>
      </c>
      <c r="J44" s="51">
        <f>'YEAR BUILT'!L28</f>
        <v/>
      </c>
      <c r="K44" s="1" t="n"/>
      <c r="L44" s="1" t="n"/>
      <c r="M44" s="1" t="n"/>
      <c r="N44" s="1" t="n"/>
      <c r="O44" s="1" t="n"/>
      <c r="P44" s="1" t="n"/>
    </row>
    <row r="45" ht="13" customHeight="1">
      <c r="A45" s="1" t="n"/>
      <c r="B45" s="24" t="inlineStr">
        <is>
          <t>DAIKIN</t>
        </is>
      </c>
      <c r="C45" s="51">
        <f>'YEAR BUILT'!E28</f>
        <v/>
      </c>
      <c r="D45" s="51">
        <f>'YEAR BUILT'!F28</f>
        <v/>
      </c>
      <c r="E45" s="1" t="n"/>
      <c r="F45" s="1" t="n"/>
      <c r="G45" s="1" t="n"/>
      <c r="H45" s="24" t="inlineStr">
        <is>
          <t>DAIKIN</t>
        </is>
      </c>
      <c r="I45" s="51">
        <f>'YEAR BUILT'!M28</f>
        <v/>
      </c>
      <c r="J45" s="51">
        <f>'YEAR BUILT'!N28</f>
        <v/>
      </c>
      <c r="K45" s="1" t="n"/>
      <c r="L45" s="1" t="n"/>
      <c r="M45" s="1" t="n"/>
      <c r="N45" s="1" t="n"/>
      <c r="O45" s="1" t="n"/>
      <c r="P45" s="1" t="n"/>
    </row>
    <row r="46" ht="13" customHeight="1">
      <c r="A46" s="1" t="n"/>
      <c r="B46" s="24" t="inlineStr">
        <is>
          <t>THERMO KING</t>
        </is>
      </c>
      <c r="C46" s="51">
        <f>'YEAR BUILT'!G28</f>
        <v/>
      </c>
      <c r="D46" s="51">
        <f>'YEAR BUILT'!H28</f>
        <v/>
      </c>
      <c r="E46" s="1" t="n"/>
      <c r="F46" s="1" t="n"/>
      <c r="G46" s="1" t="n"/>
      <c r="H46" s="24" t="inlineStr">
        <is>
          <t>THERMO KING</t>
        </is>
      </c>
      <c r="I46" s="51">
        <f>'YEAR BUILT'!O28</f>
        <v/>
      </c>
      <c r="J46" s="51">
        <f>'YEAR BUILT'!P28</f>
        <v/>
      </c>
      <c r="K46" s="1" t="n"/>
      <c r="L46" s="1" t="n"/>
      <c r="M46" s="1" t="n"/>
      <c r="N46" s="1" t="n"/>
      <c r="O46" s="1" t="n"/>
      <c r="P46" s="1" t="n"/>
    </row>
    <row r="47" ht="13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 ht="13" customHeight="1">
      <c r="A48" s="1" t="n"/>
      <c r="B48" s="56" t="inlineStr">
        <is>
          <t>Full 2010-2026 Year x Brand x Size breakdown is on the YEAR BUILT sheet.</t>
        </is>
      </c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</sheetData>
  <mergeCells count="7">
    <mergeCell ref="B42:D42"/>
    <mergeCell ref="H42:J42"/>
    <mergeCell ref="H27:J27"/>
    <mergeCell ref="B9:D9"/>
    <mergeCell ref="B1:L2"/>
    <mergeCell ref="B27:D27"/>
    <mergeCell ref="H9:J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2026-10-09T01:26:07Z</dcterms:created>
  <dcterms:modified xmlns:dcterms="http://purl.org/dc/terms/" xmlns:xsi="http://www.w3.org/2001/XMLSchema-instance" xsi:type="dcterms:W3CDTF">2026-10-09T01:26:15Z</dcterms:modified>
</cp:coreProperties>
</file>