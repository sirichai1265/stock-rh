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BookingRaw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1565C0"/>
    </font>
    <font>
      <b val="1"/>
      <color rgb="00C62828"/>
    </font>
  </fonts>
  <fills count="6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left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2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date</t>
        </is>
      </c>
      <c r="B1">
        <f>TODAY()</f>
        <v/>
      </c>
    </row>
    <row r="3">
      <c r="A3" t="inlineStr">
        <is>
          <t>WK#</t>
        </is>
      </c>
      <c r="B3" t="inlineStr">
        <is>
          <t>Monday</t>
        </is>
      </c>
      <c r="C3" t="inlineStr">
        <is>
          <t>Saturday</t>
        </is>
      </c>
    </row>
    <row r="4">
      <c r="A4">
        <f>WEEKNUM(B4,21)</f>
        <v/>
      </c>
      <c r="B4" s="1">
        <f>$B$1-(WEEKDAY($B$1,2)-1)</f>
        <v/>
      </c>
      <c r="C4" s="1">
        <f>B4+5</f>
        <v/>
      </c>
    </row>
    <row r="5">
      <c r="A5">
        <f>WEEKNUM(B5,21)</f>
        <v/>
      </c>
      <c r="B5" s="1">
        <f>B4+7</f>
        <v/>
      </c>
      <c r="C5" s="1">
        <f>B5+5</f>
        <v/>
      </c>
    </row>
    <row r="6">
      <c r="A6">
        <f>WEEKNUM(B6,21)</f>
        <v/>
      </c>
      <c r="B6" s="1">
        <f>B5+7</f>
        <v/>
      </c>
      <c r="C6" s="1">
        <f>B6+5</f>
        <v/>
      </c>
    </row>
    <row r="7">
      <c r="A7">
        <f>WEEKNUM(B7,21)</f>
        <v/>
      </c>
      <c r="B7" s="1">
        <f>B6+7</f>
        <v/>
      </c>
      <c r="C7" s="1">
        <f>B7+5</f>
        <v/>
      </c>
    </row>
    <row r="9">
      <c r="A9" t="inlineStr">
        <is>
          <t>Tomorrow</t>
        </is>
      </c>
      <c r="B9" s="1">
        <f>B1+1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Pickup Date</t>
        </is>
      </c>
      <c r="C1" t="inlineStr">
        <is>
          <t>20'GP</t>
        </is>
      </c>
      <c r="D1" t="inlineStr">
        <is>
          <t>40'GP</t>
        </is>
      </c>
      <c r="E1" t="inlineStr">
        <is>
          <t>40'HC</t>
        </is>
      </c>
      <c r="F1" t="inlineStr">
        <is>
          <t>20'RE</t>
        </is>
      </c>
      <c r="G1" t="inlineStr">
        <is>
          <t>40'RH</t>
        </is>
      </c>
      <c r="H1" t="inlineStr">
        <is>
          <t>20'OT</t>
        </is>
      </c>
      <c r="I1" t="inlineStr">
        <is>
          <t>40'OT</t>
        </is>
      </c>
      <c r="J1" t="inlineStr">
        <is>
          <t>20'FR</t>
        </is>
      </c>
      <c r="K1" t="inlineStr">
        <is>
          <t>40'FR</t>
        </is>
      </c>
    </row>
    <row r="2">
      <c r="A2" t="inlineStr">
        <is>
          <t>LCH27</t>
        </is>
      </c>
      <c r="B2" s="1" t="n">
        <v>46275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BKK27</t>
        </is>
      </c>
      <c r="B3" s="1" t="n">
        <v>46279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BKK27</t>
        </is>
      </c>
      <c r="B4" s="1" t="n">
        <v>46279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BKK27</t>
        </is>
      </c>
      <c r="B5" s="1" t="n">
        <v>46279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BKK27</t>
        </is>
      </c>
      <c r="B6" s="1" t="n">
        <v>46279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BKK27</t>
        </is>
      </c>
      <c r="B7" s="1" t="n">
        <v>46280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BKK27</t>
        </is>
      </c>
      <c r="B8" s="1" t="n">
        <v>46280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BKK27</t>
        </is>
      </c>
      <c r="B9" s="1" t="n">
        <v>46281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BKK27</t>
        </is>
      </c>
      <c r="B10" s="1" t="n">
        <v>46281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BKK27</t>
        </is>
      </c>
      <c r="B11" s="1" t="n">
        <v>46283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BKK27</t>
        </is>
      </c>
      <c r="B12" s="1" t="n">
        <v>46283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BKK27</t>
        </is>
      </c>
      <c r="B13" s="1" t="n">
        <v>46283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LCH27</t>
        </is>
      </c>
      <c r="B14" s="1" t="n">
        <v>46284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LCH27</t>
        </is>
      </c>
      <c r="B15" s="1" t="n">
        <v>46286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BKK27</t>
        </is>
      </c>
      <c r="B16" s="1" t="n">
        <v>46286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BKK27</t>
        </is>
      </c>
      <c r="B17" s="1" t="n">
        <v>46288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BKK27</t>
        </is>
      </c>
      <c r="B18" s="1" t="n">
        <v>46289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BKK27</t>
        </is>
      </c>
      <c r="B19" s="1" t="n">
        <v>46289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LCH27</t>
        </is>
      </c>
      <c r="B20" s="1" t="n">
        <v>46270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LCH27</t>
        </is>
      </c>
      <c r="B21" s="1" t="n">
        <v>46270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LCH27</t>
        </is>
      </c>
      <c r="B22" s="1" t="n">
        <v>46270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LCH27</t>
        </is>
      </c>
      <c r="B23" s="1" t="n">
        <v>46272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LCH27</t>
        </is>
      </c>
      <c r="B24" s="1" t="n">
        <v>46272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LCH27</t>
        </is>
      </c>
      <c r="B25" s="1" t="n">
        <v>46272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LCH27</t>
        </is>
      </c>
      <c r="B26" s="1" t="n">
        <v>46272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LCH27</t>
        </is>
      </c>
      <c r="B27" s="1" t="n">
        <v>46275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LCH27</t>
        </is>
      </c>
      <c r="B28" s="1" t="n">
        <v>46275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BKK27</t>
        </is>
      </c>
      <c r="B29" s="1" t="n">
        <v>46275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BKK27</t>
        </is>
      </c>
      <c r="B30" s="1" t="n">
        <v>46276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BKK27</t>
        </is>
      </c>
      <c r="B31" s="1" t="n">
        <v>46276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BKK27</t>
        </is>
      </c>
      <c r="B32" s="1" t="n">
        <v>46276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BKK27</t>
        </is>
      </c>
      <c r="B33" s="1" t="n">
        <v>46276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BKK27</t>
        </is>
      </c>
      <c r="B34" s="1" t="n">
        <v>46277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LCH27</t>
        </is>
      </c>
      <c r="B35" s="1" t="n">
        <v>46277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LCH27</t>
        </is>
      </c>
      <c r="B36" s="1" t="n">
        <v>46277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BKK27</t>
        </is>
      </c>
      <c r="B37" s="1" t="n">
        <v>46279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BKK27</t>
        </is>
      </c>
      <c r="B38" s="1" t="n">
        <v>46279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BKK27</t>
        </is>
      </c>
      <c r="B39" s="1" t="n">
        <v>46279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BKK27</t>
        </is>
      </c>
      <c r="B40" s="1" t="n">
        <v>46279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BKK27</t>
        </is>
      </c>
      <c r="B41" s="1" t="n">
        <v>46279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LCH27</t>
        </is>
      </c>
      <c r="B42" s="1" t="n">
        <v>46279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LCH27</t>
        </is>
      </c>
      <c r="B43" s="1" t="n">
        <v>46279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LCH27</t>
        </is>
      </c>
      <c r="B44" s="1" t="n">
        <v>46279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LCH27</t>
        </is>
      </c>
      <c r="B45" s="1" t="n">
        <v>46280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LCH27</t>
        </is>
      </c>
      <c r="B46" s="1" t="n">
        <v>46280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LCH27</t>
        </is>
      </c>
      <c r="B47" s="1" t="n">
        <v>46280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BKK27</t>
        </is>
      </c>
      <c r="B48" s="1" t="n">
        <v>46281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BKK27</t>
        </is>
      </c>
      <c r="B49" s="1" t="n">
        <v>46281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LCH27</t>
        </is>
      </c>
      <c r="B50" s="1" t="n">
        <v>46281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BKK27</t>
        </is>
      </c>
      <c r="B51" s="1" t="n">
        <v>46281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BKK27</t>
        </is>
      </c>
      <c r="B52" s="1" t="n">
        <v>46281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LCH27</t>
        </is>
      </c>
      <c r="B53" s="1" t="n">
        <v>46282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LCH27</t>
        </is>
      </c>
      <c r="B54" s="1" t="n">
        <v>46282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LCH27</t>
        </is>
      </c>
      <c r="B55" s="1" t="n">
        <v>46282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BKK27</t>
        </is>
      </c>
      <c r="B56" s="1" t="n">
        <v>46282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>
        <is>
          <t>LCH27</t>
        </is>
      </c>
      <c r="B57" s="1" t="n">
        <v>46282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BKK27</t>
        </is>
      </c>
      <c r="B58" s="1" t="n">
        <v>46282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LCH27</t>
        </is>
      </c>
      <c r="B59" s="1" t="n">
        <v>46282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LCH27</t>
        </is>
      </c>
      <c r="B60" s="1" t="n">
        <v>46282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LCH27</t>
        </is>
      </c>
      <c r="B61" s="1" t="n">
        <v>46282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BKK27</t>
        </is>
      </c>
      <c r="B62" s="1" t="n">
        <v>46282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BKK27</t>
        </is>
      </c>
      <c r="B63" s="1" t="n">
        <v>46282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LCH27</t>
        </is>
      </c>
      <c r="B64" s="1" t="n">
        <v>46283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BKK27</t>
        </is>
      </c>
      <c r="B65" s="1" t="n">
        <v>46283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LCH27</t>
        </is>
      </c>
      <c r="B66" s="1" t="n">
        <v>46283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LCH27</t>
        </is>
      </c>
      <c r="B67" s="1" t="n">
        <v>46283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LCH27</t>
        </is>
      </c>
      <c r="B68" s="1" t="n">
        <v>46283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BKK27</t>
        </is>
      </c>
      <c r="B69" s="1" t="n">
        <v>46283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BKK27</t>
        </is>
      </c>
      <c r="B70" s="1" t="n">
        <v>46284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LCH27</t>
        </is>
      </c>
      <c r="B71" s="1" t="n">
        <v>46284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LCH27</t>
        </is>
      </c>
      <c r="B72" s="1" t="n">
        <v>46284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BKK27</t>
        </is>
      </c>
      <c r="B73" s="1" t="n">
        <v>46284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BKK27</t>
        </is>
      </c>
      <c r="B74" s="1" t="n">
        <v>46284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>
        <is>
          <t>BKK27</t>
        </is>
      </c>
      <c r="B75" s="1" t="n">
        <v>46284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>
        <is>
          <t>BKK27</t>
        </is>
      </c>
      <c r="B76" s="1" t="n">
        <v>46284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LCH27</t>
        </is>
      </c>
      <c r="B77" s="1" t="n">
        <v>46284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</row>
    <row r="78">
      <c r="A78" t="inlineStr">
        <is>
          <t>BKK27</t>
        </is>
      </c>
      <c r="B78" s="1" t="n">
        <v>46284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BKK27</t>
        </is>
      </c>
      <c r="B79" s="1" t="n">
        <v>46286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BKK27</t>
        </is>
      </c>
      <c r="B80" s="1" t="n">
        <v>46287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BKK27</t>
        </is>
      </c>
      <c r="B81" s="1" t="n">
        <v>46288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BKK27</t>
        </is>
      </c>
      <c r="B82" s="1" t="n">
        <v>46288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LCH27</t>
        </is>
      </c>
      <c r="B83" s="1" t="n">
        <v>46288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BKK27</t>
        </is>
      </c>
      <c r="B84" s="1" t="n">
        <v>46288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BKK27</t>
        </is>
      </c>
      <c r="B85" s="1" t="n">
        <v>46288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BKK27</t>
        </is>
      </c>
      <c r="B86" s="1" t="n">
        <v>46288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BKK27</t>
        </is>
      </c>
      <c r="B87" s="1" t="n">
        <v>46289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BKK27</t>
        </is>
      </c>
      <c r="B88" s="1" t="n">
        <v>46289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BKK27</t>
        </is>
      </c>
      <c r="B89" s="1" t="n">
        <v>46290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BKK27</t>
        </is>
      </c>
      <c r="B90" s="1" t="n">
        <v>46290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BKK27</t>
        </is>
      </c>
      <c r="B91" s="1" t="n">
        <v>46290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BKK27</t>
        </is>
      </c>
      <c r="B92" s="1" t="n">
        <v>46290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BKK27</t>
        </is>
      </c>
      <c r="B93" s="1" t="n">
        <v>46290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LCH27</t>
        </is>
      </c>
      <c r="B94" s="1" t="n">
        <v>46279</v>
      </c>
      <c r="C94" t="n">
        <v>0</v>
      </c>
      <c r="D94" t="n">
        <v>0</v>
      </c>
      <c r="E94" t="n">
        <v>0</v>
      </c>
      <c r="F94" t="n">
        <v>0</v>
      </c>
      <c r="G94" t="n">
        <v>2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BKK27</t>
        </is>
      </c>
      <c r="B95" s="1" t="n">
        <v>46281</v>
      </c>
      <c r="C95" t="n">
        <v>0</v>
      </c>
      <c r="D95" t="n">
        <v>0</v>
      </c>
      <c r="E95" t="n">
        <v>0</v>
      </c>
      <c r="F95" t="n">
        <v>0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LCH27</t>
        </is>
      </c>
      <c r="B96" s="1" t="n">
        <v>46282</v>
      </c>
      <c r="C96" t="n">
        <v>0</v>
      </c>
      <c r="D96" t="n">
        <v>0</v>
      </c>
      <c r="E96" t="n">
        <v>0</v>
      </c>
      <c r="F96" t="n">
        <v>0</v>
      </c>
      <c r="G96" t="n">
        <v>2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LCH27</t>
        </is>
      </c>
      <c r="B97" s="1" t="n">
        <v>46284</v>
      </c>
      <c r="C97" t="n">
        <v>0</v>
      </c>
      <c r="D97" t="n">
        <v>0</v>
      </c>
      <c r="E97" t="n">
        <v>0</v>
      </c>
      <c r="F97" t="n">
        <v>0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BKK27</t>
        </is>
      </c>
      <c r="B98" s="1" t="n">
        <v>46291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BKK27</t>
        </is>
      </c>
      <c r="B99" s="1" t="n">
        <v>46279</v>
      </c>
      <c r="C99" t="n">
        <v>0</v>
      </c>
      <c r="D99" t="n">
        <v>0</v>
      </c>
      <c r="E99" t="n">
        <v>0</v>
      </c>
      <c r="F99" t="n">
        <v>0</v>
      </c>
      <c r="G99" t="n">
        <v>4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BKK27</t>
        </is>
      </c>
      <c r="B100" s="1" t="n">
        <v>46280</v>
      </c>
      <c r="C100" t="n">
        <v>0</v>
      </c>
      <c r="D100" t="n">
        <v>0</v>
      </c>
      <c r="E100" t="n">
        <v>0</v>
      </c>
      <c r="F100" t="n">
        <v>0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LCH27</t>
        </is>
      </c>
      <c r="B101" s="1" t="n">
        <v>46281</v>
      </c>
      <c r="C101" t="n">
        <v>0</v>
      </c>
      <c r="D101" t="n">
        <v>0</v>
      </c>
      <c r="E101" t="n">
        <v>0</v>
      </c>
      <c r="F101" t="n">
        <v>0</v>
      </c>
      <c r="G101" t="n">
        <v>4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BKK27</t>
        </is>
      </c>
      <c r="B102" s="1" t="n">
        <v>46286</v>
      </c>
      <c r="C102" t="n">
        <v>0</v>
      </c>
      <c r="D102" t="n">
        <v>0</v>
      </c>
      <c r="E102" t="n">
        <v>0</v>
      </c>
      <c r="F102" t="n">
        <v>0</v>
      </c>
      <c r="G102" t="n">
        <v>5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BKK27</t>
        </is>
      </c>
      <c r="B103" s="1" t="n">
        <v>46279</v>
      </c>
      <c r="C103" t="n">
        <v>0</v>
      </c>
      <c r="D103" t="n">
        <v>0</v>
      </c>
      <c r="E103" t="n">
        <v>0</v>
      </c>
      <c r="F103" t="n">
        <v>0</v>
      </c>
      <c r="G103" t="n">
        <v>6</v>
      </c>
      <c r="H103" t="n">
        <v>0</v>
      </c>
      <c r="I103" t="n">
        <v>0</v>
      </c>
      <c r="J103" t="n">
        <v>0</v>
      </c>
      <c r="K10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9" customWidth="1" min="4" max="4"/>
    <col width="2.43" customWidth="1" min="5" max="5"/>
    <col width="6" customWidth="1" min="6" max="6"/>
    <col width="24" customWidth="1" min="7" max="7"/>
    <col width="9" customWidth="1" min="8" max="8"/>
    <col width="9" customWidth="1" min="9" max="9"/>
  </cols>
  <sheetData>
    <row r="1">
      <c r="A1" s="2">
        <f>"Stock vs Booking Report - Reefer (20'RE / 40'RH)  as of "&amp;DAY(Control!$B$1)&amp;" "&amp;CHOOSE(MONTH(Control!$B$1),"JAN","FEB","MAR","APR","MAY","JUN","JUL","AUG","SEP","OCT","NOV","DEC")&amp;" "&amp;YEAR(Control!$B$1)</f>
        <v/>
      </c>
    </row>
    <row r="3">
      <c r="A3" s="3" t="inlineStr">
        <is>
          <t>WK</t>
        </is>
      </c>
      <c r="B3" s="4" t="inlineStr">
        <is>
          <t>BKK27</t>
        </is>
      </c>
      <c r="C3" s="3" t="inlineStr">
        <is>
          <t>20'RE</t>
        </is>
      </c>
      <c r="D3" s="3" t="inlineStr">
        <is>
          <t>40'RH</t>
        </is>
      </c>
      <c r="F3" s="3" t="inlineStr">
        <is>
          <t>WK</t>
        </is>
      </c>
      <c r="G3" s="4" t="inlineStr">
        <is>
          <t>LCH27</t>
        </is>
      </c>
      <c r="H3" s="3" t="inlineStr">
        <is>
          <t>20'RE</t>
        </is>
      </c>
      <c r="I3" s="3" t="inlineStr">
        <is>
          <t>40'RH</t>
        </is>
      </c>
    </row>
    <row r="4">
      <c r="B4" s="5" t="inlineStr">
        <is>
          <t>Stock empty in yard</t>
        </is>
      </c>
      <c r="C4" s="6" t="n">
        <v>29</v>
      </c>
      <c r="D4" s="6" t="n">
        <v>35</v>
      </c>
      <c r="G4" s="5" t="inlineStr">
        <is>
          <t>Stock empty in yard</t>
        </is>
      </c>
      <c r="H4" s="6" t="n">
        <v>7</v>
      </c>
      <c r="I4" s="6" t="n">
        <v>66</v>
      </c>
    </row>
    <row r="5">
      <c r="A5" s="7">
        <f>Control!$A$4</f>
        <v/>
      </c>
      <c r="B5" s="8" t="inlineStr">
        <is>
          <t>Booking Pending pick up</t>
        </is>
      </c>
      <c r="C5" s="9">
        <f>SUMIFS(BookingRaw!$F$2:$F$400,BookingRaw!$A$2:$A$400,"BKK27",BookingRaw!$B$2:$B$400,"&lt;"&amp;Control!$B$1)</f>
        <v/>
      </c>
      <c r="D5" s="9">
        <f>SUMIFS(BookingRaw!$G$2:$G$400,BookingRaw!$A$2:$A$400,"BKK27",BookingRaw!$B$2:$B$400,"&lt;"&amp;Control!$B$1)</f>
        <v/>
      </c>
      <c r="F5" s="7">
        <f>Control!$A$4</f>
        <v/>
      </c>
      <c r="G5" s="8" t="inlineStr">
        <is>
          <t>Booking Pending pick up</t>
        </is>
      </c>
      <c r="H5" s="9">
        <f>SUMIFS(BookingRaw!$F$2:$F$400,BookingRaw!$A$2:$A$400,"LCH27",BookingRaw!$B$2:$B$400,"&lt;"&amp;Control!$B$1)</f>
        <v/>
      </c>
      <c r="I5" s="9">
        <f>SUMIFS(BookingRaw!$G$2:$G$400,BookingRaw!$A$2:$A$400,"LCH27",BookingRaw!$B$2:$B$400,"&lt;"&amp;Control!$B$1)</f>
        <v/>
      </c>
    </row>
    <row r="6">
      <c r="A6" s="7">
        <f>Control!$A$4</f>
        <v/>
      </c>
      <c r="B6" s="8">
        <f>"Booking on "&amp;DAY(Control!$B$1)&amp;" "&amp;CHOOSE(MONTH(Control!$B$1),"JAN","FEB","MAR","APR","MAY","JUN","JUL","AUG","SEP","OCT","NOV","DEC")</f>
        <v/>
      </c>
      <c r="C6" s="9">
        <f>SUMIFS(BookingRaw!$F$2:$F$400,BookingRaw!$A$2:$A$400,"BKK27",BookingRaw!$B$2:$B$400,"="&amp;Control!$B$1)</f>
        <v/>
      </c>
      <c r="D6" s="9">
        <f>SUMIFS(BookingRaw!$G$2:$G$400,BookingRaw!$A$2:$A$400,"BKK27",BookingRaw!$B$2:$B$400,"="&amp;Control!$B$1)</f>
        <v/>
      </c>
      <c r="F6" s="7">
        <f>Control!$A$4</f>
        <v/>
      </c>
      <c r="G6" s="8">
        <f>"Booking on "&amp;DAY(Control!$B$1)&amp;" "&amp;CHOOSE(MONTH(Control!$B$1),"JAN","FEB","MAR","APR","MAY","JUN","JUL","AUG","SEP","OCT","NOV","DEC")</f>
        <v/>
      </c>
      <c r="H6" s="9">
        <f>SUMIFS(BookingRaw!$F$2:$F$400,BookingRaw!$A$2:$A$400,"LCH27",BookingRaw!$B$2:$B$400,"="&amp;Control!$B$1)</f>
        <v/>
      </c>
      <c r="I6" s="9">
        <f>SUMIFS(BookingRaw!$G$2:$G$400,BookingRaw!$A$2:$A$400,"LCH27",BookingRaw!$B$2:$B$400,"="&amp;Control!$B$1)</f>
        <v/>
      </c>
    </row>
    <row r="7">
      <c r="A7" s="7">
        <f>Control!$A$4</f>
        <v/>
      </c>
      <c r="B7" s="8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9">
        <f>SUMIFS(BookingRaw!$F$2:$F$400,BookingRaw!$A$2:$A$400,"BKK27",BookingRaw!$B$2:$B$400,"&gt;="&amp;Control!$B$9,BookingRaw!$B$2:$B$400,"&lt;="&amp;Control!$C$4)</f>
        <v/>
      </c>
      <c r="D7" s="9">
        <f>SUMIFS(BookingRaw!$G$2:$G$400,BookingRaw!$A$2:$A$400,"BKK27",BookingRaw!$B$2:$B$400,"&gt;="&amp;Control!$B$9,BookingRaw!$B$2:$B$400,"&lt;="&amp;Control!$C$4)</f>
        <v/>
      </c>
      <c r="F7" s="7">
        <f>Control!$A$4</f>
        <v/>
      </c>
      <c r="G7" s="8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H7" s="9">
        <f>SUMIFS(BookingRaw!$F$2:$F$400,BookingRaw!$A$2:$A$400,"LCH27",BookingRaw!$B$2:$B$400,"&gt;="&amp;Control!$B$9,BookingRaw!$B$2:$B$400,"&lt;="&amp;Control!$C$4)</f>
        <v/>
      </c>
      <c r="I7" s="9">
        <f>SUMIFS(BookingRaw!$G$2:$G$400,BookingRaw!$A$2:$A$400,"LCH27",BookingRaw!$B$2:$B$400,"&gt;="&amp;Control!$B$9,BookingRaw!$B$2:$B$400,"&lt;="&amp;Control!$C$4)</f>
        <v/>
      </c>
    </row>
    <row r="8">
      <c r="B8" s="10">
        <f>"AV Balance till "&amp;DAY(Control!$C$4)&amp;" "&amp;CHOOSE(MONTH(Control!$C$4),"JAN","FEB","MAR","APR","MAY","JUN","JUL","AUG","SEP","OCT","NOV","DEC")</f>
        <v/>
      </c>
      <c r="C8" s="11">
        <f>C4-C5-C6-C7</f>
        <v/>
      </c>
      <c r="D8" s="11">
        <f>D4-D5-D6-D7</f>
        <v/>
      </c>
      <c r="G8" s="10">
        <f>"AV Balance till "&amp;DAY(Control!$C$4)&amp;" "&amp;CHOOSE(MONTH(Control!$C$4),"JAN","FEB","MAR","APR","MAY","JUN","JUL","AUG","SEP","OCT","NOV","DEC")</f>
        <v/>
      </c>
      <c r="H8" s="11">
        <f>H4-H5-H6-H7</f>
        <v/>
      </c>
      <c r="I8" s="11">
        <f>I4-I5-I6-I7</f>
        <v/>
      </c>
    </row>
    <row r="9">
      <c r="A9" s="7">
        <f>Control!$A$5</f>
        <v/>
      </c>
      <c r="B9" s="8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9">
        <f>SUMIFS(BookingRaw!$F$2:$F$400,BookingRaw!$A$2:$A$400,"BKK27",BookingRaw!$B$2:$B$400,"&gt;="&amp;Control!$B5,BookingRaw!$B$2:$B$400,"&lt;="&amp;Control!$C5)</f>
        <v/>
      </c>
      <c r="D9" s="9">
        <f>SUMIFS(BookingRaw!$G$2:$G$400,BookingRaw!$A$2:$A$400,"BKK27",BookingRaw!$B$2:$B$400,"&gt;="&amp;Control!$B5,BookingRaw!$B$2:$B$400,"&lt;="&amp;Control!$C5)</f>
        <v/>
      </c>
      <c r="F9" s="7">
        <f>Control!$A$5</f>
        <v/>
      </c>
      <c r="G9" s="8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H9" s="9">
        <f>SUMIFS(BookingRaw!$F$2:$F$400,BookingRaw!$A$2:$A$400,"LCH27",BookingRaw!$B$2:$B$400,"&gt;="&amp;Control!$B5,BookingRaw!$B$2:$B$400,"&lt;="&amp;Control!$C5)</f>
        <v/>
      </c>
      <c r="I9" s="9">
        <f>SUMIFS(BookingRaw!$G$2:$G$400,BookingRaw!$A$2:$A$400,"LCH27",BookingRaw!$B$2:$B$400,"&gt;="&amp;Control!$B5,BookingRaw!$B$2:$B$400,"&lt;="&amp;Control!$C5)</f>
        <v/>
      </c>
    </row>
    <row r="10">
      <c r="B10" s="10">
        <f>"AV Balance till "&amp;DAY(Control!$C5)&amp;" "&amp;CHOOSE(MONTH(Control!$C5),"JAN","FEB","MAR","APR","MAY","JUN","JUL","AUG","SEP","OCT","NOV","DEC")</f>
        <v/>
      </c>
      <c r="C10" s="11">
        <f>C8-C9</f>
        <v/>
      </c>
      <c r="D10" s="12">
        <f>D8-D9</f>
        <v/>
      </c>
      <c r="G10" s="10">
        <f>"AV Balance till "&amp;DAY(Control!$C5)&amp;" "&amp;CHOOSE(MONTH(Control!$C5),"JAN","FEB","MAR","APR","MAY","JUN","JUL","AUG","SEP","OCT","NOV","DEC")</f>
        <v/>
      </c>
      <c r="H10" s="11">
        <f>H8-H9</f>
        <v/>
      </c>
      <c r="I10" s="11">
        <f>I8-I9</f>
        <v/>
      </c>
    </row>
    <row r="11">
      <c r="A11" s="7">
        <f>Control!$A$6</f>
        <v/>
      </c>
      <c r="B11" s="8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9">
        <f>SUMIFS(BookingRaw!$F$2:$F$400,BookingRaw!$A$2:$A$400,"BKK27",BookingRaw!$B$2:$B$400,"&gt;="&amp;Control!$B6,BookingRaw!$B$2:$B$400,"&lt;="&amp;Control!$C6)</f>
        <v/>
      </c>
      <c r="D11" s="9">
        <f>SUMIFS(BookingRaw!$G$2:$G$400,BookingRaw!$A$2:$A$400,"BKK27",BookingRaw!$B$2:$B$400,"&gt;="&amp;Control!$B6,BookingRaw!$B$2:$B$400,"&lt;="&amp;Control!$C6)</f>
        <v/>
      </c>
      <c r="F11" s="7">
        <f>Control!$A$6</f>
        <v/>
      </c>
      <c r="G11" s="8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H11" s="9">
        <f>SUMIFS(BookingRaw!$F$2:$F$400,BookingRaw!$A$2:$A$400,"LCH27",BookingRaw!$B$2:$B$400,"&gt;="&amp;Control!$B6,BookingRaw!$B$2:$B$400,"&lt;="&amp;Control!$C6)</f>
        <v/>
      </c>
      <c r="I11" s="9">
        <f>SUMIFS(BookingRaw!$G$2:$G$400,BookingRaw!$A$2:$A$400,"LCH27",BookingRaw!$B$2:$B$400,"&gt;="&amp;Control!$B6,BookingRaw!$B$2:$B$400,"&lt;="&amp;Control!$C6)</f>
        <v/>
      </c>
    </row>
    <row r="12">
      <c r="B12" s="10">
        <f>"AV Balance till "&amp;DAY(Control!$C6)&amp;" "&amp;CHOOSE(MONTH(Control!$C6),"JAN","FEB","MAR","APR","MAY","JUN","JUL","AUG","SEP","OCT","NOV","DEC")</f>
        <v/>
      </c>
      <c r="C12" s="11">
        <f>C10-C11</f>
        <v/>
      </c>
      <c r="D12" s="12">
        <f>D10-D11</f>
        <v/>
      </c>
      <c r="G12" s="10">
        <f>"AV Balance till "&amp;DAY(Control!$C6)&amp;" "&amp;CHOOSE(MONTH(Control!$C6),"JAN","FEB","MAR","APR","MAY","JUN","JUL","AUG","SEP","OCT","NOV","DEC")</f>
        <v/>
      </c>
      <c r="H12" s="11">
        <f>H10-H11</f>
        <v/>
      </c>
      <c r="I12" s="11">
        <f>I10-I11</f>
        <v/>
      </c>
    </row>
    <row r="13">
      <c r="A13" s="7">
        <f>Control!$A$7</f>
        <v/>
      </c>
      <c r="B13" s="8">
        <f>"Booking on "&amp;IF(Control!$B7=Control!$C7,DAY(Control!$B7)&amp;" "&amp;CHOOSE(MONTH(Control!$B7),"JAN","FEB","MAR","APR","MAY","JUN","JUL","AUG","SEP","OCT","NOV","DEC"),IF(MONTH(Control!$B7)=MONTH(Control!$C7),DAY(Control!$B7)&amp;"-"&amp;DAY(Control!$C7)&amp;" "&amp;CHOOSE(MONTH(Control!$C7),"JAN","FEB","MAR","APR","MAY","JUN","JUL","AUG","SEP","OCT","NOV","DEC"),DAY(Control!$B7)&amp;" "&amp;CHOOSE(MONTH(Control!$B7),"JAN","FEB","MAR","APR","MAY","JUN","JUL","AUG","SEP","OCT","NOV","DEC")&amp;"-"&amp;DAY(Control!$C7)&amp;" "&amp;CHOOSE(MONTH(Control!$C7),"JAN","FEB","MAR","APR","MAY","JUN","JUL","AUG","SEP","OCT","NOV","DEC")))</f>
        <v/>
      </c>
      <c r="C13" s="9">
        <f>SUMIFS(BookingRaw!$F$2:$F$400,BookingRaw!$A$2:$A$400,"BKK27",BookingRaw!$B$2:$B$400,"&gt;="&amp;Control!$B7,BookingRaw!$B$2:$B$400,"&lt;="&amp;Control!$C7)</f>
        <v/>
      </c>
      <c r="D13" s="9">
        <f>SUMIFS(BookingRaw!$G$2:$G$400,BookingRaw!$A$2:$A$400,"BKK27",BookingRaw!$B$2:$B$400,"&gt;="&amp;Control!$B7,BookingRaw!$B$2:$B$400,"&lt;="&amp;Control!$C7)</f>
        <v/>
      </c>
      <c r="F13" s="7">
        <f>Control!$A$7</f>
        <v/>
      </c>
      <c r="G13" s="8">
        <f>"Booking on "&amp;IF(Control!$B7=Control!$C7,DAY(Control!$B7)&amp;" "&amp;CHOOSE(MONTH(Control!$B7),"JAN","FEB","MAR","APR","MAY","JUN","JUL","AUG","SEP","OCT","NOV","DEC"),IF(MONTH(Control!$B7)=MONTH(Control!$C7),DAY(Control!$B7)&amp;"-"&amp;DAY(Control!$C7)&amp;" "&amp;CHOOSE(MONTH(Control!$C7),"JAN","FEB","MAR","APR","MAY","JUN","JUL","AUG","SEP","OCT","NOV","DEC"),DAY(Control!$B7)&amp;" "&amp;CHOOSE(MONTH(Control!$B7),"JAN","FEB","MAR","APR","MAY","JUN","JUL","AUG","SEP","OCT","NOV","DEC")&amp;"-"&amp;DAY(Control!$C7)&amp;" "&amp;CHOOSE(MONTH(Control!$C7),"JAN","FEB","MAR","APR","MAY","JUN","JUL","AUG","SEP","OCT","NOV","DEC")))</f>
        <v/>
      </c>
      <c r="H13" s="9">
        <f>SUMIFS(BookingRaw!$F$2:$F$400,BookingRaw!$A$2:$A$400,"LCH27",BookingRaw!$B$2:$B$400,"&gt;="&amp;Control!$B7,BookingRaw!$B$2:$B$400,"&lt;="&amp;Control!$C7)</f>
        <v/>
      </c>
      <c r="I13" s="9">
        <f>SUMIFS(BookingRaw!$G$2:$G$400,BookingRaw!$A$2:$A$400,"LCH27",BookingRaw!$B$2:$B$400,"&gt;="&amp;Control!$B7,BookingRaw!$B$2:$B$400,"&lt;="&amp;Control!$C7)</f>
        <v/>
      </c>
    </row>
    <row r="14">
      <c r="B14" s="10">
        <f>"AV Balance till "&amp;DAY(Control!$C7)&amp;" "&amp;CHOOSE(MONTH(Control!$C7),"JAN","FEB","MAR","APR","MAY","JUN","JUL","AUG","SEP","OCT","NOV","DEC")</f>
        <v/>
      </c>
      <c r="C14" s="11">
        <f>C12-C13</f>
        <v/>
      </c>
      <c r="D14" s="12">
        <f>D12-D13</f>
        <v/>
      </c>
      <c r="G14" s="10">
        <f>"AV Balance till "&amp;DAY(Control!$C7)&amp;" "&amp;CHOOSE(MONTH(Control!$C7),"JAN","FEB","MAR","APR","MAY","JUN","JUL","AUG","SEP","OCT","NOV","DEC")</f>
        <v/>
      </c>
      <c r="H14" s="11">
        <f>H12-H13</f>
        <v/>
      </c>
      <c r="I14" s="11">
        <f>I12-I13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2026-09-10T00:49:37Z</dcterms:created>
  <dcterms:modified xsi:type="dcterms:W3CDTF">2026-09-10T00:49:37Z</dcterms:modified>
</cp:coreProperties>
</file>