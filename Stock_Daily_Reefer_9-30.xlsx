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46295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46300</v>
      </c>
      <c r="C2" s="1" t="n">
        <v>1</v>
      </c>
      <c r="D2" s="1" t="n">
        <v>0</v>
      </c>
    </row>
    <row r="3" ht="13" customHeight="1">
      <c r="A3" s="1" t="inlineStr">
        <is>
          <t>LCH27</t>
        </is>
      </c>
      <c r="B3" s="2" t="n">
        <v>46304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46298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46298</v>
      </c>
      <c r="C5" s="1" t="n">
        <v>1</v>
      </c>
      <c r="D5" s="1" t="n">
        <v>0</v>
      </c>
    </row>
    <row r="6" ht="13" customHeight="1">
      <c r="A6" s="1" t="inlineStr">
        <is>
          <t>LCH27</t>
        </is>
      </c>
      <c r="B6" s="2" t="n">
        <v>46307</v>
      </c>
      <c r="C6" s="1" t="n">
        <v>1</v>
      </c>
      <c r="D6" s="1" t="n">
        <v>0</v>
      </c>
    </row>
    <row r="7" ht="13" customHeight="1">
      <c r="A7" s="1" t="inlineStr">
        <is>
          <t>LCH27</t>
        </is>
      </c>
      <c r="B7" s="2" t="n">
        <v>46312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46300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46310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46311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46309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46301</v>
      </c>
      <c r="C12" s="1" t="n">
        <v>1</v>
      </c>
      <c r="D12" s="1" t="n">
        <v>0</v>
      </c>
    </row>
    <row r="13" ht="13" customHeight="1">
      <c r="A13" s="1" t="inlineStr">
        <is>
          <t>BKK27</t>
        </is>
      </c>
      <c r="B13" s="2" t="n">
        <v>46312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46301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46296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46308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46301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46300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46304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46301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46308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46297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46311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46295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46298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46295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46296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46305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46303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46302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46310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46307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46312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46302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46303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46302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46308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46311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46295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46310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46295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46303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46302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46297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46301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46298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46301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46309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46297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46302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46301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46311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46304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46298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46295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46311</v>
      </c>
      <c r="C56" s="1" t="n">
        <v>0</v>
      </c>
      <c r="D56" s="1" t="n">
        <v>1</v>
      </c>
    </row>
    <row r="57" ht="13" customHeight="1">
      <c r="A57" s="1" t="inlineStr">
        <is>
          <t>LCH27</t>
        </is>
      </c>
      <c r="B57" s="2" t="n">
        <v>46304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46295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46296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46307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46298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46303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46296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46295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46302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46308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46296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46303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46307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46297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46296</v>
      </c>
      <c r="C71" s="1" t="n">
        <v>0</v>
      </c>
      <c r="D71" s="1" t="n">
        <v>1</v>
      </c>
    </row>
    <row r="72" ht="13" customHeight="1">
      <c r="A72" s="1" t="inlineStr">
        <is>
          <t>BKK27</t>
        </is>
      </c>
      <c r="B72" s="2" t="n">
        <v>46300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46301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46302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46302</v>
      </c>
      <c r="C75" s="1" t="n">
        <v>0</v>
      </c>
      <c r="D75" s="1" t="n">
        <v>1</v>
      </c>
    </row>
    <row r="76" ht="13" customHeight="1">
      <c r="A76" s="1" t="inlineStr">
        <is>
          <t>LCH27</t>
        </is>
      </c>
      <c r="B76" s="2" t="n">
        <v>46295</v>
      </c>
      <c r="C76" s="1" t="n">
        <v>0</v>
      </c>
      <c r="D76" s="1" t="n">
        <v>1</v>
      </c>
    </row>
    <row r="77" ht="13" customHeight="1">
      <c r="A77" s="1" t="inlineStr">
        <is>
          <t>BKK27</t>
        </is>
      </c>
      <c r="B77" s="2" t="n">
        <v>46295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46296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46300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46295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46297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46307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46297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46301</v>
      </c>
      <c r="C84" s="1" t="n">
        <v>0</v>
      </c>
      <c r="D84" s="1" t="n">
        <v>1</v>
      </c>
    </row>
    <row r="85" ht="13" customHeight="1">
      <c r="A85" s="1" t="inlineStr">
        <is>
          <t>BKK27</t>
        </is>
      </c>
      <c r="B85" s="2" t="n">
        <v>46305</v>
      </c>
      <c r="C85" s="1" t="n">
        <v>0</v>
      </c>
      <c r="D85" s="1" t="n">
        <v>1</v>
      </c>
    </row>
    <row r="86" ht="13" customHeight="1">
      <c r="A86" s="1" t="inlineStr">
        <is>
          <t>BKK27</t>
        </is>
      </c>
      <c r="B86" s="2" t="n">
        <v>46308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46310</v>
      </c>
      <c r="C87" s="1" t="n">
        <v>0</v>
      </c>
      <c r="D87" s="1" t="n">
        <v>1</v>
      </c>
    </row>
    <row r="88" ht="13" customHeight="1">
      <c r="A88" s="1" t="inlineStr">
        <is>
          <t>BKK27</t>
        </is>
      </c>
      <c r="B88" s="2" t="n">
        <v>46310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46305</v>
      </c>
      <c r="C89" s="1" t="n">
        <v>0</v>
      </c>
      <c r="D89" s="1" t="n">
        <v>1</v>
      </c>
    </row>
    <row r="90" ht="13" customHeight="1">
      <c r="A90" s="1" t="inlineStr">
        <is>
          <t>BKK27</t>
        </is>
      </c>
      <c r="B90" s="2" t="n">
        <v>46307</v>
      </c>
      <c r="C90" s="1" t="n">
        <v>0</v>
      </c>
      <c r="D90" s="1" t="n">
        <v>10</v>
      </c>
    </row>
    <row r="91" ht="13" customHeight="1">
      <c r="A91" s="1" t="inlineStr">
        <is>
          <t>LCH27</t>
        </is>
      </c>
      <c r="B91" s="2" t="n">
        <v>46298</v>
      </c>
      <c r="C91" s="1" t="n">
        <v>0</v>
      </c>
      <c r="D91" s="1" t="n">
        <v>2</v>
      </c>
    </row>
    <row r="92" ht="13" customHeight="1">
      <c r="A92" s="1" t="inlineStr">
        <is>
          <t>LCH27</t>
        </is>
      </c>
      <c r="B92" s="2" t="n">
        <v>46304</v>
      </c>
      <c r="C92" s="1" t="n">
        <v>0</v>
      </c>
      <c r="D92" s="1" t="n">
        <v>2</v>
      </c>
    </row>
    <row r="93" ht="13" customHeight="1">
      <c r="A93" s="1" t="inlineStr">
        <is>
          <t>LCH27</t>
        </is>
      </c>
      <c r="B93" s="2" t="n">
        <v>46303</v>
      </c>
      <c r="C93" s="1" t="n">
        <v>0</v>
      </c>
      <c r="D93" s="1" t="n">
        <v>2</v>
      </c>
    </row>
    <row r="94" ht="13" customHeight="1">
      <c r="A94" s="1" t="inlineStr">
        <is>
          <t>BKK27</t>
        </is>
      </c>
      <c r="B94" s="2" t="n">
        <v>46294</v>
      </c>
      <c r="C94" s="1" t="n">
        <v>0</v>
      </c>
      <c r="D94" s="1" t="n">
        <v>1</v>
      </c>
    </row>
    <row r="95" ht="13" customHeight="1">
      <c r="A95" s="1" t="inlineStr">
        <is>
          <t>BKK27</t>
        </is>
      </c>
      <c r="B95" s="2" t="n">
        <v>46293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46293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46293</v>
      </c>
      <c r="C97" s="1" t="n">
        <v>0</v>
      </c>
      <c r="D97" s="1" t="n">
        <v>1</v>
      </c>
    </row>
    <row r="98" ht="13" customHeight="1">
      <c r="A98" s="1" t="inlineStr">
        <is>
          <t>LCH27</t>
        </is>
      </c>
      <c r="B98" s="2" t="n">
        <v>46293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46279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46279</v>
      </c>
      <c r="C100" s="1" t="n">
        <v>0</v>
      </c>
      <c r="D100" s="1" t="n">
        <v>1</v>
      </c>
    </row>
    <row r="101" ht="13" customHeight="1">
      <c r="A101" s="1" t="inlineStr">
        <is>
          <t>LCH27</t>
        </is>
      </c>
      <c r="B101" s="2" t="n">
        <v>46289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46289</v>
      </c>
      <c r="C102" s="1" t="n">
        <v>0</v>
      </c>
      <c r="D102" s="1" t="n">
        <v>1</v>
      </c>
    </row>
    <row r="103" ht="13" customHeight="1">
      <c r="A103" s="1" t="inlineStr">
        <is>
          <t>LCH27</t>
        </is>
      </c>
      <c r="B103" s="2" t="n">
        <v>46286</v>
      </c>
      <c r="C103" s="1" t="n">
        <v>0</v>
      </c>
      <c r="D103" s="1" t="n">
        <v>1</v>
      </c>
    </row>
    <row r="104" ht="13" customHeight="1">
      <c r="A104" s="1" t="inlineStr">
        <is>
          <t>LCH27</t>
        </is>
      </c>
      <c r="B104" s="2" t="n">
        <v>46290</v>
      </c>
      <c r="C104" s="1" t="n">
        <v>0</v>
      </c>
      <c r="D104" s="1" t="n">
        <v>1</v>
      </c>
    </row>
    <row r="105" ht="13" customHeight="1">
      <c r="A105" s="1" t="inlineStr">
        <is>
          <t>LCH27</t>
        </is>
      </c>
      <c r="B105" s="2" t="n">
        <v>46294</v>
      </c>
      <c r="C105" s="1" t="n">
        <v>0</v>
      </c>
      <c r="D105" s="1" t="n">
        <v>2</v>
      </c>
    </row>
    <row r="106" ht="13" customHeight="1">
      <c r="A106" s="1" t="inlineStr">
        <is>
          <t>BKK27</t>
        </is>
      </c>
      <c r="B106" s="2" t="n">
        <v>46294</v>
      </c>
      <c r="C106" s="1" t="n">
        <v>0</v>
      </c>
      <c r="D106" s="1" t="n">
        <v>5</v>
      </c>
    </row>
    <row r="107" ht="13" customHeight="1">
      <c r="A107" s="1" t="inlineStr">
        <is>
          <t>BKK27</t>
        </is>
      </c>
      <c r="B107" s="2" t="n">
        <v>46293</v>
      </c>
      <c r="C107" s="1" t="n">
        <v>0</v>
      </c>
      <c r="D107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IED</t>
        </is>
      </c>
    </row>
    <row r="5" ht="13" customHeight="1">
      <c r="A5" s="1" t="inlineStr">
        <is>
          <t>BKK27</t>
        </is>
      </c>
      <c r="B5" s="1" t="inlineStr">
        <is>
          <t>45RE</t>
        </is>
      </c>
      <c r="C5" s="1" t="inlineStr">
        <is>
          <t>IED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45RE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45RE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45RE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IED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IED</t>
        </is>
      </c>
    </row>
    <row r="26" ht="13" customHeight="1">
      <c r="A26" s="1" t="inlineStr">
        <is>
          <t>BKK27</t>
        </is>
      </c>
      <c r="B26" s="1" t="inlineStr">
        <is>
          <t>45RE</t>
        </is>
      </c>
      <c r="C26" s="1" t="inlineStr">
        <is>
          <t>IED</t>
        </is>
      </c>
    </row>
    <row r="27" ht="13" customHeight="1">
      <c r="A27" s="1" t="inlineStr">
        <is>
          <t>BKK27</t>
        </is>
      </c>
      <c r="B27" s="1" t="inlineStr">
        <is>
          <t>45RE</t>
        </is>
      </c>
      <c r="C27" s="1" t="inlineStr">
        <is>
          <t>IED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IED</t>
        </is>
      </c>
    </row>
    <row r="29" ht="13" customHeight="1">
      <c r="A29" s="1" t="inlineStr">
        <is>
          <t>BKK27</t>
        </is>
      </c>
      <c r="B29" s="1" t="inlineStr">
        <is>
          <t>45RE</t>
        </is>
      </c>
      <c r="C29" s="1" t="inlineStr">
        <is>
          <t>IED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IED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IED</t>
        </is>
      </c>
    </row>
    <row r="32" ht="13" customHeight="1">
      <c r="A32" s="1" t="inlineStr">
        <is>
          <t>BKK27</t>
        </is>
      </c>
      <c r="B32" s="1" t="inlineStr">
        <is>
          <t>45RE</t>
        </is>
      </c>
      <c r="C32" s="1" t="inlineStr">
        <is>
          <t>IED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IED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IED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IED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22RE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22RE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22RE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22RE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BKK27</t>
        </is>
      </c>
      <c r="B78" s="1" t="inlineStr">
        <is>
          <t>22RE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BKK27</t>
        </is>
      </c>
      <c r="B81" s="1" t="inlineStr">
        <is>
          <t>22RE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OER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22RE</t>
        </is>
      </c>
      <c r="C88" s="1" t="inlineStr">
        <is>
          <t>OER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BKK27</t>
        </is>
      </c>
      <c r="B92" s="1" t="inlineStr">
        <is>
          <t>22RE</t>
        </is>
      </c>
      <c r="C92" s="1" t="inlineStr">
        <is>
          <t>OER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BKK27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BKK27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BKK27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BKK27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BKK27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BKK27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BKK27</t>
        </is>
      </c>
      <c r="B122" s="1" t="inlineStr">
        <is>
          <t>22RE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OER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OER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32</v>
      </c>
      <c r="D4" s="10" t="n">
        <v>43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48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8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SUMIFS(BookingRaw!$C$2:$C$8000,BookingRaw!$A$2:$A$8000,"BKK27",BookingRaw!$B$2:$B$8000,"&gt;="&amp;Control!$B6,BookingRaw!$B$2:$B$8000,"&lt;="&amp;DATE(2026,10,17))</f>
        <v/>
      </c>
      <c r="D11" s="7">
        <f>SUMIFS(BookingRaw!$D$2:$D$8000,BookingRaw!$A$2:$A$8000,"BKK27",BookingRaw!$B$2:$B$8000,"&gt;="&amp;Control!$B6,BookingRaw!$B$2:$B$8000,"&lt;="&amp;DATE(2026,10,17))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SUMIFS(BookingRaw!$C$2:$C$8000,BookingRaw!$A$2:$A$8000,"LCH27",BookingRaw!$B$2:$B$8000,"&gt;="&amp;Control!$B6,BookingRaw!$B$2:$B$8000,"&lt;="&amp;DATE(2026,10,17))</f>
        <v/>
      </c>
      <c r="J11" s="7">
        <f>SUMIFS(BookingRaw!$D$2:$D$8000,BookingRaw!$A$2:$A$8000,"LCH27",BookingRaw!$B$2:$B$8000,"&gt;="&amp;Control!$B6,BookingRaw!$B$2:$B$8000,"&lt;="&amp;DATE(2026,10,17))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$130,"BKK27",StockRaw!$B$2:$B$130,"22RE",StockRaw!$C$2:$C$130,"IED")+COUNTIFS(StockRaw!$A$2:$A$130,"BKK27",StockRaw!$B$2:$B$130,"22RE",StockRaw!$C$2:$C$130,"IEP")+COUNTIFS(StockRaw!$A$2:$A$130,"BKK27",StockRaw!$B$2:$B$130,"22RE",StockRaw!$C$2:$C$130,"IER")</f>
        <v/>
      </c>
      <c r="D16" s="8">
        <f>COUNTIFS(StockRaw!$A$2:$A$130,"BKK27",StockRaw!$B$2:$B$130,"45RE",StockRaw!$C$2:$C$130,"IED")+COUNTIFS(StockRaw!$A$2:$A$130,"BKK27",StockRaw!$B$2:$B$130,"45RE",StockRaw!$C$2:$C$130,"IEP")+COUNTIFS(StockRaw!$A$2:$A$130,"BKK27",StockRaw!$B$2:$B$130,"45RE",StockRaw!$C$2:$C$130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$130,"LCH27",StockRaw!$B$2:$B$130,"22RE",StockRaw!$C$2:$C$130,"IED")+COUNTIFS(StockRaw!$A$2:$A$130,"LCH27",StockRaw!$B$2:$B$130,"22RE",StockRaw!$C$2:$C$130,"IEP")+COUNTIFS(StockRaw!$A$2:$A$130,"LCH27",StockRaw!$B$2:$B$130,"22RE",StockRaw!$C$2:$C$130,"IER")</f>
        <v/>
      </c>
      <c r="J16" s="8">
        <f>COUNTIFS(StockRaw!$A$2:$A$130,"LCH27",StockRaw!$B$2:$B$130,"45RE",StockRaw!$C$2:$C$130,"IED")+COUNTIFS(StockRaw!$A$2:$A$130,"LCH27",StockRaw!$B$2:$B$130,"45RE",StockRaw!$C$2:$C$130,"IEP")+COUNTIFS(StockRaw!$A$2:$A$130,"LCH27",StockRaw!$B$2:$B$130,"45RE",StockRaw!$C$2:$C$130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COUNTIFS(StockRaw!$A$2:$A$130,"BKK27",StockRaw!$B$2:$B$130,"22RE",StockRaw!$C$2:$C$130,"OER")</f>
        <v/>
      </c>
      <c r="D17" s="8">
        <f>COUNTIFS(StockRaw!$A$2:$A$130,"BKK27",StockRaw!$B$2:$B$130,"45RE",StockRaw!$C$2:$C$130,"OER")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COUNTIFS(StockRaw!$A$2:$A$130,"LCH27",StockRaw!$B$2:$B$130,"22RE",StockRaw!$C$2:$C$130,"OER")</f>
        <v/>
      </c>
      <c r="J17" s="8">
        <f>COUNTIFS(StockRaw!$A$2:$A$130,"LCH27",StockRaw!$B$2:$B$130,"45RE",StockRaw!$C$2:$C$130,"OER")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5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11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0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8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9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15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20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28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28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6" t="n"/>
      <c r="D33" s="56" t="n"/>
      <c r="E33" s="56" t="n"/>
      <c r="F33" s="56" t="n"/>
      <c r="G33" s="56" t="n"/>
      <c r="H33" s="57" t="n"/>
      <c r="I33" s="1" t="n"/>
      <c r="J33" s="3" t="inlineStr">
        <is>
          <t>LCH27 / HAST  —  Stock by Built Year x Brand x Size</t>
        </is>
      </c>
      <c r="K33" s="56" t="n"/>
      <c r="L33" s="56" t="n"/>
      <c r="M33" s="56" t="n"/>
      <c r="N33" s="56" t="n"/>
      <c r="O33" s="56" t="n"/>
      <c r="P33" s="57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7" t="n"/>
      <c r="E34" s="4" t="inlineStr">
        <is>
          <t>DAIKIN</t>
        </is>
      </c>
      <c r="F34" s="57" t="n"/>
      <c r="G34" s="4" t="inlineStr">
        <is>
          <t>THERMO KING</t>
        </is>
      </c>
      <c r="H34" s="57" t="n"/>
      <c r="I34" s="1" t="n"/>
      <c r="J34" s="18" t="inlineStr">
        <is>
          <t>YEAR
BUILT</t>
        </is>
      </c>
      <c r="K34" s="4" t="inlineStr">
        <is>
          <t>CARRIER</t>
        </is>
      </c>
      <c r="L34" s="57" t="n"/>
      <c r="M34" s="4" t="inlineStr">
        <is>
          <t>DAIKIN</t>
        </is>
      </c>
      <c r="N34" s="57" t="n"/>
      <c r="O34" s="4" t="inlineStr">
        <is>
          <t>THERMO KING</t>
        </is>
      </c>
      <c r="P34" s="57" t="n"/>
    </row>
    <row r="35" ht="13" customHeight="1">
      <c r="A35" s="1" t="n"/>
      <c r="B35" s="60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0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5</v>
      </c>
      <c r="E37" s="24" t="n">
        <v>2</v>
      </c>
      <c r="F37" s="24" t="n"/>
      <c r="G37" s="24" t="n"/>
      <c r="H37" s="24" t="n"/>
      <c r="I37" s="1" t="n"/>
      <c r="J37" s="23" t="n">
        <v>2025</v>
      </c>
      <c r="K37" s="24" t="n"/>
      <c r="L37" s="24" t="n">
        <v>11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2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/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7</v>
      </c>
      <c r="D41" s="24" t="n">
        <v>8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9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7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7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4</v>
      </c>
      <c r="D43" s="26" t="n">
        <v>6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9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3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2</v>
      </c>
      <c r="D45" s="26" t="n">
        <v>2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>
        <v>1</v>
      </c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2</v>
      </c>
      <c r="D46" s="26" t="n">
        <v>2</v>
      </c>
      <c r="E46" s="26" t="n">
        <v>2</v>
      </c>
      <c r="F46" s="26" t="n"/>
      <c r="G46" s="26" t="n"/>
      <c r="H46" s="26" t="n"/>
      <c r="I46" s="1" t="n"/>
      <c r="J46" s="25" t="n">
        <v>2016</v>
      </c>
      <c r="K46" s="26" t="n"/>
      <c r="L46" s="26" t="n">
        <v>2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3</v>
      </c>
      <c r="E47" s="28" t="n">
        <v>1</v>
      </c>
      <c r="F47" s="28" t="n"/>
      <c r="G47" s="28" t="n"/>
      <c r="H47" s="28" t="n"/>
      <c r="I47" s="1" t="n"/>
      <c r="J47" s="27" t="n">
        <v>2015</v>
      </c>
      <c r="K47" s="28" t="n"/>
      <c r="L47" s="28" t="n"/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/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>
        <v>2</v>
      </c>
      <c r="G49" s="28" t="n">
        <v>2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>
        <v>2</v>
      </c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>
        <v>3</v>
      </c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2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>
        <v>1</v>
      </c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>
        <v>1</v>
      </c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21</v>
      </c>
      <c r="D53" s="13" t="n">
        <v>38</v>
      </c>
      <c r="E53" s="13" t="n">
        <v>9</v>
      </c>
      <c r="F53" s="13" t="n">
        <v>5</v>
      </c>
      <c r="G53" s="13" t="n">
        <v>2</v>
      </c>
      <c r="H53" s="13" t="n"/>
      <c r="I53" s="1" t="n"/>
      <c r="J53" s="13" t="inlineStr">
        <is>
          <t>GTTL</t>
        </is>
      </c>
      <c r="K53" s="13" t="n">
        <v>3</v>
      </c>
      <c r="L53" s="13" t="n">
        <v>45</v>
      </c>
      <c r="M53" s="13" t="n">
        <v>3</v>
      </c>
      <c r="N53" s="13" t="n">
        <v>3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(40'RH stock by Built Year, per depot)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BKK27 DURIAN  (2021-2026)</t>
        </is>
      </c>
      <c r="C57" s="33" t="n"/>
      <c r="D57" s="33" t="n"/>
      <c r="E57" s="1" t="n"/>
      <c r="F57" s="32" t="inlineStr">
        <is>
          <t>BKK27 NON DURIAN  (≤ 2020)</t>
        </is>
      </c>
      <c r="G57" s="33" t="n"/>
      <c r="H57" s="33" t="n"/>
      <c r="I57" s="1" t="n"/>
      <c r="J57" s="32" t="inlineStr">
        <is>
          <t>LCH27 DURIAN  (2021-2026)</t>
        </is>
      </c>
      <c r="K57" s="33" t="n"/>
      <c r="L57" s="33" t="n"/>
      <c r="M57" s="1" t="n"/>
      <c r="N57" s="32" t="inlineStr">
        <is>
          <t>LCH27 NON DURIAN  (≤ 2020)</t>
        </is>
      </c>
      <c r="O57" s="33" t="n"/>
      <c r="P57" s="33" t="n"/>
    </row>
    <row r="58" ht="13" customHeight="1">
      <c r="A58" s="1" t="n"/>
      <c r="B58" s="34">
        <f>SUM(D36:D41)+SUM(F36:F41)+SUM(H36:H41)</f>
        <v/>
      </c>
      <c r="C58" s="33" t="n"/>
      <c r="D58" s="33" t="n"/>
      <c r="E58" s="1" t="n"/>
      <c r="F58" s="34">
        <f>SUM(D42:D52)+SUM(F42:F52)+SUM(H42:H52)</f>
        <v/>
      </c>
      <c r="G58" s="33" t="n"/>
      <c r="H58" s="33" t="n"/>
      <c r="I58" s="1" t="n"/>
      <c r="J58" s="35">
        <f>SUM(L36:L41)+SUM(N36:N41)+SUM(P36:P41)</f>
        <v/>
      </c>
      <c r="K58" s="33" t="n"/>
      <c r="L58" s="33" t="n"/>
      <c r="M58" s="1" t="n"/>
      <c r="N58" s="35">
        <f>SUM(L42:L52)+SUM(N42:N52)+SUM(P42:P52)</f>
        <v/>
      </c>
      <c r="O58" s="33" t="n"/>
      <c r="P58" s="33" t="n"/>
    </row>
    <row r="59" ht="13" customHeight="1">
      <c r="A59" s="1" t="n"/>
      <c r="B59" s="36" t="inlineStr">
        <is>
          <t>40'RH stock</t>
        </is>
      </c>
      <c r="C59" s="33" t="n"/>
      <c r="D59" s="33" t="n"/>
      <c r="E59" s="1" t="n"/>
      <c r="F59" s="36" t="inlineStr">
        <is>
          <t>40'RH stock</t>
        </is>
      </c>
      <c r="G59" s="33" t="n"/>
      <c r="H59" s="33" t="n"/>
      <c r="I59" s="1" t="n"/>
      <c r="J59" s="36" t="inlineStr">
        <is>
          <t>40'RH stock</t>
        </is>
      </c>
      <c r="K59" s="33" t="n"/>
      <c r="L59" s="33" t="n"/>
      <c r="M59" s="1" t="n"/>
      <c r="N59" s="36" t="inlineStr">
        <is>
          <t>40'RH stock</t>
        </is>
      </c>
      <c r="O59" s="33" t="n"/>
      <c r="P59" s="3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63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52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3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3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1" t="n"/>
      <c r="D23" s="62" t="n"/>
      <c r="E23" s="1" t="n"/>
      <c r="F23" s="1" t="n"/>
      <c r="G23" s="1" t="n"/>
      <c r="H23" s="45">
        <f>'TOTAL RH'!H2</f>
        <v/>
      </c>
      <c r="I23" s="61" t="n"/>
      <c r="J23" s="62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17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DURIAN  (2021-2026)</t>
        </is>
      </c>
      <c r="C34" s="33" t="n"/>
      <c r="D34" s="33" t="n"/>
      <c r="E34" s="1" t="n"/>
      <c r="F34" s="39" t="inlineStr">
        <is>
          <t>BKK27 NON DURIAN  (≤ 2020)</t>
        </is>
      </c>
      <c r="G34" s="33" t="n"/>
      <c r="H34" s="33" t="n"/>
      <c r="I34" s="1" t="n"/>
      <c r="J34" s="39" t="inlineStr">
        <is>
          <t>LCH27 DURIAN  (2021-2026)</t>
        </is>
      </c>
      <c r="K34" s="33" t="n"/>
      <c r="L34" s="33" t="n"/>
      <c r="M34" s="1" t="n"/>
      <c r="N34" s="39" t="inlineStr">
        <is>
          <t>LCH27 NON DURIAN  (≤ 2020)</t>
        </is>
      </c>
      <c r="O34" s="33" t="n"/>
      <c r="P34" s="33" t="n"/>
    </row>
    <row r="35" ht="13" customHeight="1">
      <c r="A35" s="1" t="n"/>
      <c r="B35" s="53">
        <f>'TOTAL RH'!B58</f>
        <v/>
      </c>
      <c r="C35" s="33" t="n"/>
      <c r="D35" s="33" t="n"/>
      <c r="E35" s="1" t="n"/>
      <c r="F35" s="53">
        <f>'TOTAL RH'!F58</f>
        <v/>
      </c>
      <c r="G35" s="33" t="n"/>
      <c r="H35" s="33" t="n"/>
      <c r="I35" s="1" t="n"/>
      <c r="J35" s="54">
        <f>'TOTAL RH'!J58</f>
        <v/>
      </c>
      <c r="K35" s="33" t="n"/>
      <c r="L35" s="33" t="n"/>
      <c r="M35" s="1" t="n"/>
      <c r="N35" s="54">
        <f>'TOTAL RH'!N58</f>
        <v/>
      </c>
      <c r="O35" s="33" t="n"/>
      <c r="P35" s="33" t="n"/>
    </row>
    <row r="36" ht="13" customHeight="1">
      <c r="A36" s="1" t="n"/>
      <c r="B36" s="42" t="inlineStr">
        <is>
          <t>40'RH stock</t>
        </is>
      </c>
      <c r="C36" s="33" t="n"/>
      <c r="D36" s="33" t="n"/>
      <c r="E36" s="1" t="n"/>
      <c r="F36" s="42" t="inlineStr">
        <is>
          <t>40'RH stock</t>
        </is>
      </c>
      <c r="G36" s="33" t="n"/>
      <c r="H36" s="33" t="n"/>
      <c r="I36" s="1" t="n"/>
      <c r="J36" s="42" t="inlineStr">
        <is>
          <t>40'RH stock</t>
        </is>
      </c>
      <c r="K36" s="33" t="n"/>
      <c r="L36" s="33" t="n"/>
      <c r="M36" s="1" t="n"/>
      <c r="N36" s="42" t="inlineStr">
        <is>
          <t>40'RH stock</t>
        </is>
      </c>
      <c r="O36" s="33" t="n"/>
      <c r="P36" s="3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1" t="n"/>
      <c r="D38" s="62" t="n"/>
      <c r="E38" s="1" t="n"/>
      <c r="F38" s="1" t="n"/>
      <c r="G38" s="1" t="n"/>
      <c r="H38" s="45" t="inlineStr">
        <is>
          <t>LCH27 current mix</t>
        </is>
      </c>
      <c r="I38" s="61" t="n"/>
      <c r="J38" s="62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5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2026-09-30T01:32:48Z</dcterms:created>
  <dcterms:modified xmlns:dcterms="http://purl.org/dc/terms/" xmlns:xsi="http://www.w3.org/2001/XMLSchema-instance" xsi:type="dcterms:W3CDTF">2026-09-30T01:33:01Z</dcterms:modified>
</cp:coreProperties>
</file>