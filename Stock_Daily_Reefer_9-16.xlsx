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L-USER\Desktop\STOCK RH\"/>
    </mc:Choice>
  </mc:AlternateContent>
  <xr:revisionPtr revIDLastSave="0" documentId="13_ncr:1_{C03AD50C-8CCA-4815-B59F-2CAD8EB62DB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ntrol" sheetId="1" r:id="rId1"/>
    <sheet name="BookingRaw" sheetId="2" r:id="rId2"/>
    <sheet name="TOTAL R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4" i="1"/>
  <c r="A4" i="1" s="1"/>
  <c r="J6" i="3"/>
  <c r="I6" i="3"/>
  <c r="H6" i="3"/>
  <c r="D6" i="3"/>
  <c r="C6" i="3"/>
  <c r="B6" i="3"/>
  <c r="J5" i="3"/>
  <c r="I5" i="3"/>
  <c r="D5" i="3"/>
  <c r="C5" i="3"/>
  <c r="O4" i="3"/>
  <c r="N4" i="3"/>
  <c r="O3" i="3"/>
  <c r="O5" i="3" s="1"/>
  <c r="N3" i="3"/>
  <c r="N5" i="3" s="1"/>
  <c r="A1" i="3"/>
  <c r="G5" i="3" l="1"/>
  <c r="G7" i="3"/>
  <c r="A6" i="3"/>
  <c r="A7" i="3"/>
  <c r="G6" i="3"/>
  <c r="A5" i="3"/>
  <c r="B5" i="1"/>
  <c r="C4" i="1"/>
  <c r="C9" i="3" l="1"/>
  <c r="C5" i="1"/>
  <c r="J9" i="3" s="1"/>
  <c r="H9" i="3"/>
  <c r="D9" i="3"/>
  <c r="B6" i="1"/>
  <c r="A5" i="1"/>
  <c r="I7" i="3"/>
  <c r="H7" i="3"/>
  <c r="J7" i="3"/>
  <c r="H8" i="3"/>
  <c r="B8" i="3"/>
  <c r="C7" i="3"/>
  <c r="B7" i="3"/>
  <c r="D7" i="3"/>
  <c r="I8" i="3" l="1"/>
  <c r="J8" i="3"/>
  <c r="J10" i="3" s="1"/>
  <c r="D8" i="3"/>
  <c r="D10" i="3" s="1"/>
  <c r="H10" i="3"/>
  <c r="B10" i="3"/>
  <c r="C8" i="3"/>
  <c r="C10" i="3" s="1"/>
  <c r="I9" i="3"/>
  <c r="A9" i="3"/>
  <c r="G9" i="3"/>
  <c r="B7" i="1"/>
  <c r="A6" i="1"/>
  <c r="C6" i="1"/>
  <c r="C11" i="3" s="1"/>
  <c r="N8" i="3" s="1"/>
  <c r="B9" i="3"/>
  <c r="C12" i="3" l="1"/>
  <c r="N13" i="3" s="1"/>
  <c r="I10" i="3"/>
  <c r="B12" i="3"/>
  <c r="H12" i="3"/>
  <c r="B11" i="3"/>
  <c r="H11" i="3"/>
  <c r="I11" i="3"/>
  <c r="N9" i="3" s="1"/>
  <c r="N10" i="3" s="1"/>
  <c r="G11" i="3"/>
  <c r="A11" i="3"/>
  <c r="D11" i="3"/>
  <c r="O8" i="3" s="1"/>
  <c r="C7" i="1"/>
  <c r="A7" i="1"/>
  <c r="J11" i="3"/>
  <c r="O9" i="3" s="1"/>
  <c r="O10" i="3" l="1"/>
  <c r="D12" i="3"/>
  <c r="O13" i="3" s="1"/>
  <c r="J12" i="3"/>
  <c r="O14" i="3" s="1"/>
  <c r="I12" i="3"/>
  <c r="N14" i="3" s="1"/>
  <c r="N15" i="3"/>
  <c r="O15" i="3" l="1"/>
</calcChain>
</file>

<file path=xl/sharedStrings.xml><?xml version="1.0" encoding="utf-8"?>
<sst xmlns="http://schemas.openxmlformats.org/spreadsheetml/2006/main" count="191" uniqueCount="35">
  <si>
    <t>BKK27 / BC2</t>
  </si>
  <si>
    <t>LCH27 / HAST</t>
  </si>
  <si>
    <t>STOCK</t>
  </si>
  <si>
    <t>22RE</t>
  </si>
  <si>
    <t>45RE</t>
  </si>
  <si>
    <t>WK</t>
  </si>
  <si>
    <t>20'RE</t>
  </si>
  <si>
    <t>40'RH</t>
  </si>
  <si>
    <t>BC</t>
  </si>
  <si>
    <t>Stock empty in yard</t>
  </si>
  <si>
    <t>HAST</t>
  </si>
  <si>
    <t>Booking Pending pick up</t>
  </si>
  <si>
    <t>TOTAL</t>
  </si>
  <si>
    <t>BOOKING</t>
  </si>
  <si>
    <t>BALANCE</t>
  </si>
  <si>
    <t>BKK / BC2 (BKK27)</t>
  </si>
  <si>
    <t>LCH / HAST (LCH27)</t>
  </si>
  <si>
    <t>YEAR BUILT 5 YEARS
FOR DURIAN SEASON</t>
  </si>
  <si>
    <t>CARRIER</t>
  </si>
  <si>
    <t>DAIKIN</t>
  </si>
  <si>
    <t>THERMO KING</t>
  </si>
  <si>
    <t>OVER 5 Y</t>
  </si>
  <si>
    <t>BKK27 / BC2  —  Stock by Built Year x Brand x Size</t>
  </si>
  <si>
    <t>LCH27 / HAST  —  Stock by Built Year x Brand x Size</t>
  </si>
  <si>
    <t>YEAR
BUILT</t>
  </si>
  <si>
    <t>GTTL</t>
  </si>
  <si>
    <t>Report date</t>
  </si>
  <si>
    <t>WK#</t>
  </si>
  <si>
    <t>Monday</t>
  </si>
  <si>
    <t>Saturday</t>
  </si>
  <si>
    <t>Tomorrow</t>
  </si>
  <si>
    <t>Location</t>
  </si>
  <si>
    <t>Pickup Date</t>
  </si>
  <si>
    <t>LCH27</t>
  </si>
  <si>
    <t>BKK27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</si>
</sst>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10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theme="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1"/>
      <color rgb="FFC62828"/>
      <name val="Tahoma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theme="1"/>
      <name val="Tahoma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D3B12"/>
      </patternFill>
    </fill>
    <fill>
      <patternFill patternType="solid">
        <fgColor rgb="FF2E7D32"/>
      </patternFill>
    </fill>
    <fill>
      <patternFill patternType="solid">
        <fgColor rgb="FFF2F2F2"/>
      </patternFill>
    </fill>
    <fill>
      <patternFill patternType="solid">
        <fgColor rgb="FFFFF59D"/>
      </patternFill>
    </fill>
    <fill>
      <patternFill patternType="solid">
        <fgColor rgb="FFF4B183"/>
      </patternFill>
    </fill>
    <fill>
      <patternFill patternType="solid">
        <fgColor rgb="FF66BB6A"/>
      </patternFill>
    </fill>
    <fill>
      <patternFill patternType="solid">
        <fgColor rgb="FFA9D18E"/>
      </patternFill>
    </fill>
    <fill>
      <patternFill patternType="solid">
        <fgColor rgb="FFFFE699"/>
      </patternFill>
    </fill>
    <fill>
      <patternFill patternType="solid">
        <fgColor rgb="FFC4A484"/>
      </patternFill>
    </fill>
    <fill>
      <patternFill patternType="solid">
        <fgColor rgb="FFF4A7A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187" fontId="2" fillId="0" borderId="0" xfId="0" applyNumberFormat="1" applyFont="1"/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4" fillId="5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2" fillId="5" borderId="0" xfId="0" applyFont="1" applyFill="1"/>
    <xf numFmtId="0" fontId="3" fillId="7" borderId="0" xfId="0" applyFont="1" applyFill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7" fillId="0" borderId="0" xfId="0" applyFont="1"/>
    <xf numFmtId="0" fontId="8" fillId="3" borderId="0" xfId="0" applyFont="1" applyFill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4.25" x14ac:dyDescent="0.2"/>
  <sheetData>
    <row r="1" spans="1:3" ht="12.95" customHeight="1" x14ac:dyDescent="0.25">
      <c r="A1" s="1" t="s">
        <v>26</v>
      </c>
      <c r="B1" s="2">
        <v>46281</v>
      </c>
      <c r="C1" s="1"/>
    </row>
    <row r="2" spans="1:3" ht="12.95" customHeight="1" x14ac:dyDescent="0.25">
      <c r="A2" s="1"/>
      <c r="B2" s="1"/>
      <c r="C2" s="1"/>
    </row>
    <row r="3" spans="1:3" ht="12.95" customHeight="1" x14ac:dyDescent="0.25">
      <c r="A3" s="1" t="s">
        <v>27</v>
      </c>
      <c r="B3" s="1" t="s">
        <v>28</v>
      </c>
      <c r="C3" s="1" t="s">
        <v>29</v>
      </c>
    </row>
    <row r="4" spans="1:3" ht="12.95" customHeight="1" x14ac:dyDescent="0.25">
      <c r="A4" s="1">
        <f>WEEKNUM(B4,21)</f>
        <v>38</v>
      </c>
      <c r="B4" s="2">
        <f>$B$1-(WEEKDAY($B$1,2)-1)</f>
        <v>46279</v>
      </c>
      <c r="C4" s="2">
        <f>B4+5</f>
        <v>46284</v>
      </c>
    </row>
    <row r="5" spans="1:3" ht="12.95" customHeight="1" x14ac:dyDescent="0.25">
      <c r="A5" s="1">
        <f>WEEKNUM(B5,21)</f>
        <v>39</v>
      </c>
      <c r="B5" s="2">
        <f>B4+7</f>
        <v>46286</v>
      </c>
      <c r="C5" s="2">
        <f>B5+5</f>
        <v>46291</v>
      </c>
    </row>
    <row r="6" spans="1:3" ht="12.95" customHeight="1" x14ac:dyDescent="0.25">
      <c r="A6" s="1">
        <f>WEEKNUM(B6,21)</f>
        <v>40</v>
      </c>
      <c r="B6" s="2">
        <f>B5+7</f>
        <v>46293</v>
      </c>
      <c r="C6" s="2">
        <f>B6+5</f>
        <v>46298</v>
      </c>
    </row>
    <row r="7" spans="1:3" ht="12.95" customHeight="1" x14ac:dyDescent="0.25">
      <c r="A7" s="1">
        <f>WEEKNUM(B7,21)</f>
        <v>41</v>
      </c>
      <c r="B7" s="2">
        <f>B6+7</f>
        <v>46300</v>
      </c>
      <c r="C7" s="2">
        <f>B7+5</f>
        <v>46305</v>
      </c>
    </row>
    <row r="8" spans="1:3" ht="12.95" customHeight="1" x14ac:dyDescent="0.25">
      <c r="A8" s="1"/>
      <c r="B8" s="1"/>
      <c r="C8" s="1"/>
    </row>
    <row r="9" spans="1:3" ht="12.95" customHeight="1" x14ac:dyDescent="0.25">
      <c r="A9" s="1" t="s">
        <v>30</v>
      </c>
      <c r="B9" s="2">
        <f>B1+1</f>
        <v>46282</v>
      </c>
      <c r="C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"/>
  <sheetViews>
    <sheetView workbookViewId="0"/>
  </sheetViews>
  <sheetFormatPr defaultRowHeight="14.25" x14ac:dyDescent="0.2"/>
  <sheetData>
    <row r="1" spans="1:4" ht="12.95" customHeight="1" x14ac:dyDescent="0.25">
      <c r="A1" s="1" t="s">
        <v>31</v>
      </c>
      <c r="B1" s="1" t="s">
        <v>32</v>
      </c>
      <c r="C1" s="1" t="s">
        <v>6</v>
      </c>
      <c r="D1" s="1" t="s">
        <v>7</v>
      </c>
    </row>
    <row r="2" spans="1:4" ht="12.95" customHeight="1" x14ac:dyDescent="0.25">
      <c r="A2" s="1" t="s">
        <v>33</v>
      </c>
      <c r="B2" s="2">
        <v>46286</v>
      </c>
      <c r="C2" s="1">
        <v>1</v>
      </c>
      <c r="D2" s="1">
        <v>0</v>
      </c>
    </row>
    <row r="3" spans="1:4" ht="12.95" customHeight="1" x14ac:dyDescent="0.25">
      <c r="A3" s="1" t="s">
        <v>34</v>
      </c>
      <c r="B3" s="2">
        <v>46283</v>
      </c>
      <c r="C3" s="1">
        <v>1</v>
      </c>
      <c r="D3" s="1">
        <v>0</v>
      </c>
    </row>
    <row r="4" spans="1:4" ht="12.95" customHeight="1" x14ac:dyDescent="0.25">
      <c r="A4" s="1" t="s">
        <v>34</v>
      </c>
      <c r="B4" s="2">
        <v>46281</v>
      </c>
      <c r="C4" s="1">
        <v>1</v>
      </c>
      <c r="D4" s="1">
        <v>0</v>
      </c>
    </row>
    <row r="5" spans="1:4" ht="12.95" customHeight="1" x14ac:dyDescent="0.25">
      <c r="A5" s="1" t="s">
        <v>34</v>
      </c>
      <c r="B5" s="2">
        <v>46294</v>
      </c>
      <c r="C5" s="1">
        <v>1</v>
      </c>
      <c r="D5" s="1">
        <v>0</v>
      </c>
    </row>
    <row r="6" spans="1:4" ht="12.95" customHeight="1" x14ac:dyDescent="0.25">
      <c r="A6" s="1" t="s">
        <v>34</v>
      </c>
      <c r="B6" s="2">
        <v>46287</v>
      </c>
      <c r="C6" s="1">
        <v>1</v>
      </c>
      <c r="D6" s="1">
        <v>0</v>
      </c>
    </row>
    <row r="7" spans="1:4" ht="12.95" customHeight="1" x14ac:dyDescent="0.25">
      <c r="A7" s="1" t="s">
        <v>34</v>
      </c>
      <c r="B7" s="2">
        <v>46289</v>
      </c>
      <c r="C7" s="1">
        <v>1</v>
      </c>
      <c r="D7" s="1">
        <v>0</v>
      </c>
    </row>
    <row r="8" spans="1:4" ht="12.95" customHeight="1" x14ac:dyDescent="0.25">
      <c r="A8" s="1" t="s">
        <v>34</v>
      </c>
      <c r="B8" s="2">
        <v>46282</v>
      </c>
      <c r="C8" s="1">
        <v>1</v>
      </c>
      <c r="D8" s="1">
        <v>0</v>
      </c>
    </row>
    <row r="9" spans="1:4" ht="12.95" customHeight="1" x14ac:dyDescent="0.25">
      <c r="A9" s="1" t="s">
        <v>33</v>
      </c>
      <c r="B9" s="2">
        <v>46286</v>
      </c>
      <c r="C9" s="1">
        <v>1</v>
      </c>
      <c r="D9" s="1">
        <v>0</v>
      </c>
    </row>
    <row r="10" spans="1:4" ht="12.95" customHeight="1" x14ac:dyDescent="0.25">
      <c r="A10" s="1" t="s">
        <v>34</v>
      </c>
      <c r="B10" s="2">
        <v>46294</v>
      </c>
      <c r="C10" s="1">
        <v>1</v>
      </c>
      <c r="D10" s="1">
        <v>0</v>
      </c>
    </row>
    <row r="11" spans="1:4" ht="12.95" customHeight="1" x14ac:dyDescent="0.25">
      <c r="A11" s="1" t="s">
        <v>34</v>
      </c>
      <c r="B11" s="2">
        <v>46283</v>
      </c>
      <c r="C11" s="1">
        <v>1</v>
      </c>
      <c r="D11" s="1">
        <v>0</v>
      </c>
    </row>
    <row r="12" spans="1:4" ht="12.95" customHeight="1" x14ac:dyDescent="0.25">
      <c r="A12" s="1" t="s">
        <v>34</v>
      </c>
      <c r="B12" s="2">
        <v>46283</v>
      </c>
      <c r="C12" s="1">
        <v>1</v>
      </c>
      <c r="D12" s="1">
        <v>0</v>
      </c>
    </row>
    <row r="13" spans="1:4" ht="12.95" customHeight="1" x14ac:dyDescent="0.25">
      <c r="A13" s="1" t="s">
        <v>34</v>
      </c>
      <c r="B13" s="2">
        <v>46283</v>
      </c>
      <c r="C13" s="1">
        <v>1</v>
      </c>
      <c r="D13" s="1">
        <v>0</v>
      </c>
    </row>
    <row r="14" spans="1:4" ht="12.95" customHeight="1" x14ac:dyDescent="0.25">
      <c r="A14" s="1" t="s">
        <v>34</v>
      </c>
      <c r="B14" s="2">
        <v>46289</v>
      </c>
      <c r="C14" s="1">
        <v>1</v>
      </c>
      <c r="D14" s="1">
        <v>0</v>
      </c>
    </row>
    <row r="15" spans="1:4" ht="12.95" customHeight="1" x14ac:dyDescent="0.25">
      <c r="A15" s="1" t="s">
        <v>34</v>
      </c>
      <c r="B15" s="2">
        <v>46288</v>
      </c>
      <c r="C15" s="1">
        <v>1</v>
      </c>
      <c r="D15" s="1">
        <v>0</v>
      </c>
    </row>
    <row r="16" spans="1:4" ht="12.95" customHeight="1" x14ac:dyDescent="0.25">
      <c r="A16" s="1" t="s">
        <v>34</v>
      </c>
      <c r="B16" s="2">
        <v>46287</v>
      </c>
      <c r="C16" s="1">
        <v>1</v>
      </c>
      <c r="D16" s="1">
        <v>0</v>
      </c>
    </row>
    <row r="17" spans="1:4" ht="12.95" customHeight="1" x14ac:dyDescent="0.25">
      <c r="A17" s="1" t="s">
        <v>34</v>
      </c>
      <c r="B17" s="2">
        <v>46284</v>
      </c>
      <c r="C17" s="1">
        <v>1</v>
      </c>
      <c r="D17" s="1">
        <v>0</v>
      </c>
    </row>
    <row r="18" spans="1:4" ht="12.95" customHeight="1" x14ac:dyDescent="0.25">
      <c r="A18" s="1" t="s">
        <v>34</v>
      </c>
      <c r="B18" s="2">
        <v>46281</v>
      </c>
      <c r="C18" s="1">
        <v>1</v>
      </c>
      <c r="D18" s="1">
        <v>0</v>
      </c>
    </row>
    <row r="19" spans="1:4" ht="12.95" customHeight="1" x14ac:dyDescent="0.25">
      <c r="A19" s="1" t="s">
        <v>34</v>
      </c>
      <c r="B19" s="2">
        <v>46283</v>
      </c>
      <c r="C19" s="1">
        <v>0</v>
      </c>
      <c r="D19" s="1">
        <v>1</v>
      </c>
    </row>
    <row r="20" spans="1:4" ht="12.95" customHeight="1" x14ac:dyDescent="0.25">
      <c r="A20" s="1" t="s">
        <v>34</v>
      </c>
      <c r="B20" s="2">
        <v>46282</v>
      </c>
      <c r="C20" s="1">
        <v>0</v>
      </c>
      <c r="D20" s="1">
        <v>1</v>
      </c>
    </row>
    <row r="21" spans="1:4" ht="12.95" customHeight="1" x14ac:dyDescent="0.25">
      <c r="A21" s="1" t="s">
        <v>34</v>
      </c>
      <c r="B21" s="2">
        <v>46283</v>
      </c>
      <c r="C21" s="1">
        <v>0</v>
      </c>
      <c r="D21" s="1">
        <v>1</v>
      </c>
    </row>
    <row r="22" spans="1:4" ht="12.95" customHeight="1" x14ac:dyDescent="0.25">
      <c r="A22" s="1" t="s">
        <v>33</v>
      </c>
      <c r="B22" s="2">
        <v>46282</v>
      </c>
      <c r="C22" s="1">
        <v>0</v>
      </c>
      <c r="D22" s="1">
        <v>1</v>
      </c>
    </row>
    <row r="23" spans="1:4" ht="12.95" customHeight="1" x14ac:dyDescent="0.25">
      <c r="A23" s="1" t="s">
        <v>34</v>
      </c>
      <c r="B23" s="2">
        <v>46287</v>
      </c>
      <c r="C23" s="1">
        <v>0</v>
      </c>
      <c r="D23" s="1">
        <v>1</v>
      </c>
    </row>
    <row r="24" spans="1:4" ht="12.95" customHeight="1" x14ac:dyDescent="0.25">
      <c r="A24" s="1" t="s">
        <v>34</v>
      </c>
      <c r="B24" s="2">
        <v>46288</v>
      </c>
      <c r="C24" s="1">
        <v>0</v>
      </c>
      <c r="D24" s="1">
        <v>1</v>
      </c>
    </row>
    <row r="25" spans="1:4" ht="12.95" customHeight="1" x14ac:dyDescent="0.25">
      <c r="A25" s="1" t="s">
        <v>33</v>
      </c>
      <c r="B25" s="2">
        <v>46286</v>
      </c>
      <c r="C25" s="1">
        <v>0</v>
      </c>
      <c r="D25" s="1">
        <v>1</v>
      </c>
    </row>
    <row r="26" spans="1:4" ht="12.95" customHeight="1" x14ac:dyDescent="0.25">
      <c r="A26" s="1" t="s">
        <v>33</v>
      </c>
      <c r="B26" s="2">
        <v>46284</v>
      </c>
      <c r="C26" s="1">
        <v>0</v>
      </c>
      <c r="D26" s="1">
        <v>1</v>
      </c>
    </row>
    <row r="27" spans="1:4" ht="12.95" customHeight="1" x14ac:dyDescent="0.25">
      <c r="A27" s="1" t="s">
        <v>34</v>
      </c>
      <c r="B27" s="2">
        <v>46288</v>
      </c>
      <c r="C27" s="1">
        <v>0</v>
      </c>
      <c r="D27" s="1">
        <v>1</v>
      </c>
    </row>
    <row r="28" spans="1:4" ht="12.95" customHeight="1" x14ac:dyDescent="0.25">
      <c r="A28" s="1" t="s">
        <v>34</v>
      </c>
      <c r="B28" s="2">
        <v>46291</v>
      </c>
      <c r="C28" s="1">
        <v>0</v>
      </c>
      <c r="D28" s="1">
        <v>1</v>
      </c>
    </row>
    <row r="29" spans="1:4" ht="12.95" customHeight="1" x14ac:dyDescent="0.25">
      <c r="A29" s="1" t="s">
        <v>33</v>
      </c>
      <c r="B29" s="2">
        <v>46281</v>
      </c>
      <c r="C29" s="1">
        <v>0</v>
      </c>
      <c r="D29" s="1">
        <v>1</v>
      </c>
    </row>
    <row r="30" spans="1:4" ht="12.95" customHeight="1" x14ac:dyDescent="0.25">
      <c r="A30" s="1" t="s">
        <v>33</v>
      </c>
      <c r="B30" s="2">
        <v>46284</v>
      </c>
      <c r="C30" s="1">
        <v>0</v>
      </c>
      <c r="D30" s="1">
        <v>1</v>
      </c>
    </row>
    <row r="31" spans="1:4" ht="12.95" customHeight="1" x14ac:dyDescent="0.25">
      <c r="A31" s="1" t="s">
        <v>34</v>
      </c>
      <c r="B31" s="2">
        <v>46283</v>
      </c>
      <c r="C31" s="1">
        <v>0</v>
      </c>
      <c r="D31" s="1">
        <v>1</v>
      </c>
    </row>
    <row r="32" spans="1:4" ht="12.95" customHeight="1" x14ac:dyDescent="0.25">
      <c r="A32" s="1" t="s">
        <v>33</v>
      </c>
      <c r="B32" s="2">
        <v>46290</v>
      </c>
      <c r="C32" s="1">
        <v>0</v>
      </c>
      <c r="D32" s="1">
        <v>1</v>
      </c>
    </row>
    <row r="33" spans="1:4" ht="12.95" customHeight="1" x14ac:dyDescent="0.25">
      <c r="A33" s="1" t="s">
        <v>33</v>
      </c>
      <c r="B33" s="2">
        <v>46296</v>
      </c>
      <c r="C33" s="1">
        <v>0</v>
      </c>
      <c r="D33" s="1">
        <v>1</v>
      </c>
    </row>
    <row r="34" spans="1:4" ht="12.95" customHeight="1" x14ac:dyDescent="0.25">
      <c r="A34" s="1" t="s">
        <v>34</v>
      </c>
      <c r="B34" s="2">
        <v>46282</v>
      </c>
      <c r="C34" s="1">
        <v>0</v>
      </c>
      <c r="D34" s="1">
        <v>1</v>
      </c>
    </row>
    <row r="35" spans="1:4" ht="12.95" customHeight="1" x14ac:dyDescent="0.25">
      <c r="A35" s="1" t="s">
        <v>34</v>
      </c>
      <c r="B35" s="2">
        <v>46284</v>
      </c>
      <c r="C35" s="1">
        <v>0</v>
      </c>
      <c r="D35" s="1">
        <v>1</v>
      </c>
    </row>
    <row r="36" spans="1:4" ht="12.95" customHeight="1" x14ac:dyDescent="0.25">
      <c r="A36" s="1" t="s">
        <v>33</v>
      </c>
      <c r="B36" s="2">
        <v>46289</v>
      </c>
      <c r="C36" s="1">
        <v>0</v>
      </c>
      <c r="D36" s="1">
        <v>1</v>
      </c>
    </row>
    <row r="37" spans="1:4" ht="12.95" customHeight="1" x14ac:dyDescent="0.25">
      <c r="A37" s="1" t="s">
        <v>34</v>
      </c>
      <c r="B37" s="2">
        <v>46290</v>
      </c>
      <c r="C37" s="1">
        <v>0</v>
      </c>
      <c r="D37" s="1">
        <v>1</v>
      </c>
    </row>
    <row r="38" spans="1:4" ht="12.95" customHeight="1" x14ac:dyDescent="0.25">
      <c r="A38" s="1" t="s">
        <v>34</v>
      </c>
      <c r="B38" s="2">
        <v>46283</v>
      </c>
      <c r="C38" s="1">
        <v>0</v>
      </c>
      <c r="D38" s="1">
        <v>1</v>
      </c>
    </row>
    <row r="39" spans="1:4" ht="12.95" customHeight="1" x14ac:dyDescent="0.25">
      <c r="A39" s="1" t="s">
        <v>34</v>
      </c>
      <c r="B39" s="2">
        <v>46289</v>
      </c>
      <c r="C39" s="1">
        <v>0</v>
      </c>
      <c r="D39" s="1">
        <v>1</v>
      </c>
    </row>
    <row r="40" spans="1:4" ht="12.95" customHeight="1" x14ac:dyDescent="0.25">
      <c r="A40" s="1" t="s">
        <v>34</v>
      </c>
      <c r="B40" s="2">
        <v>46289</v>
      </c>
      <c r="C40" s="1">
        <v>0</v>
      </c>
      <c r="D40" s="1">
        <v>1</v>
      </c>
    </row>
    <row r="41" spans="1:4" ht="12.95" customHeight="1" x14ac:dyDescent="0.25">
      <c r="A41" s="1" t="s">
        <v>34</v>
      </c>
      <c r="B41" s="2">
        <v>46286</v>
      </c>
      <c r="C41" s="1">
        <v>0</v>
      </c>
      <c r="D41" s="1">
        <v>1</v>
      </c>
    </row>
    <row r="42" spans="1:4" ht="12.95" customHeight="1" x14ac:dyDescent="0.25">
      <c r="A42" s="1" t="s">
        <v>33</v>
      </c>
      <c r="B42" s="2">
        <v>46286</v>
      </c>
      <c r="C42" s="1">
        <v>0</v>
      </c>
      <c r="D42" s="1">
        <v>1</v>
      </c>
    </row>
    <row r="43" spans="1:4" ht="12.95" customHeight="1" x14ac:dyDescent="0.25">
      <c r="A43" s="1" t="s">
        <v>33</v>
      </c>
      <c r="B43" s="2">
        <v>46288</v>
      </c>
      <c r="C43" s="1">
        <v>0</v>
      </c>
      <c r="D43" s="1">
        <v>1</v>
      </c>
    </row>
    <row r="44" spans="1:4" ht="12.95" customHeight="1" x14ac:dyDescent="0.25">
      <c r="A44" s="1" t="s">
        <v>33</v>
      </c>
      <c r="B44" s="2">
        <v>46289</v>
      </c>
      <c r="C44" s="1">
        <v>0</v>
      </c>
      <c r="D44" s="1">
        <v>1</v>
      </c>
    </row>
    <row r="45" spans="1:4" ht="12.95" customHeight="1" x14ac:dyDescent="0.25">
      <c r="A45" s="1" t="s">
        <v>34</v>
      </c>
      <c r="B45" s="2">
        <v>46282</v>
      </c>
      <c r="C45" s="1">
        <v>0</v>
      </c>
      <c r="D45" s="1">
        <v>1</v>
      </c>
    </row>
    <row r="46" spans="1:4" ht="12.95" customHeight="1" x14ac:dyDescent="0.25">
      <c r="A46" s="1" t="s">
        <v>33</v>
      </c>
      <c r="B46" s="2">
        <v>46281</v>
      </c>
      <c r="C46" s="1">
        <v>0</v>
      </c>
      <c r="D46" s="1">
        <v>1</v>
      </c>
    </row>
    <row r="47" spans="1:4" ht="12.95" customHeight="1" x14ac:dyDescent="0.25">
      <c r="A47" s="1" t="s">
        <v>34</v>
      </c>
      <c r="B47" s="2">
        <v>46281</v>
      </c>
      <c r="C47" s="1">
        <v>0</v>
      </c>
      <c r="D47" s="1">
        <v>1</v>
      </c>
    </row>
    <row r="48" spans="1:4" ht="12.95" customHeight="1" x14ac:dyDescent="0.25">
      <c r="A48" s="1" t="s">
        <v>33</v>
      </c>
      <c r="B48" s="2">
        <v>46284</v>
      </c>
      <c r="C48" s="1">
        <v>0</v>
      </c>
      <c r="D48" s="1">
        <v>1</v>
      </c>
    </row>
    <row r="49" spans="1:4" ht="12.95" customHeight="1" x14ac:dyDescent="0.25">
      <c r="A49" s="1" t="s">
        <v>34</v>
      </c>
      <c r="B49" s="2">
        <v>46283</v>
      </c>
      <c r="C49" s="1">
        <v>0</v>
      </c>
      <c r="D49" s="1">
        <v>1</v>
      </c>
    </row>
    <row r="50" spans="1:4" ht="12.95" customHeight="1" x14ac:dyDescent="0.25">
      <c r="A50" s="1" t="s">
        <v>33</v>
      </c>
      <c r="B50" s="2">
        <v>46282</v>
      </c>
      <c r="C50" s="1">
        <v>0</v>
      </c>
      <c r="D50" s="1">
        <v>1</v>
      </c>
    </row>
    <row r="51" spans="1:4" ht="12.95" customHeight="1" x14ac:dyDescent="0.25">
      <c r="A51" s="1" t="s">
        <v>33</v>
      </c>
      <c r="B51" s="2">
        <v>46290</v>
      </c>
      <c r="C51" s="1">
        <v>0</v>
      </c>
      <c r="D51" s="1">
        <v>1</v>
      </c>
    </row>
    <row r="52" spans="1:4" ht="12.95" customHeight="1" x14ac:dyDescent="0.25">
      <c r="A52" s="1" t="s">
        <v>33</v>
      </c>
      <c r="B52" s="2">
        <v>46289</v>
      </c>
      <c r="C52" s="1">
        <v>0</v>
      </c>
      <c r="D52" s="1">
        <v>1</v>
      </c>
    </row>
    <row r="53" spans="1:4" ht="12.95" customHeight="1" x14ac:dyDescent="0.25">
      <c r="A53" s="1" t="s">
        <v>34</v>
      </c>
      <c r="B53" s="2">
        <v>46288</v>
      </c>
      <c r="C53" s="1">
        <v>0</v>
      </c>
      <c r="D53" s="1">
        <v>1</v>
      </c>
    </row>
    <row r="54" spans="1:4" ht="12.95" customHeight="1" x14ac:dyDescent="0.25">
      <c r="A54" s="1" t="s">
        <v>33</v>
      </c>
      <c r="B54" s="2">
        <v>46283</v>
      </c>
      <c r="C54" s="1">
        <v>0</v>
      </c>
      <c r="D54" s="1">
        <v>1</v>
      </c>
    </row>
    <row r="55" spans="1:4" ht="12.95" customHeight="1" x14ac:dyDescent="0.25">
      <c r="A55" s="1" t="s">
        <v>34</v>
      </c>
      <c r="B55" s="2">
        <v>46283</v>
      </c>
      <c r="C55" s="1">
        <v>0</v>
      </c>
      <c r="D55" s="1">
        <v>1</v>
      </c>
    </row>
    <row r="56" spans="1:4" ht="12.95" customHeight="1" x14ac:dyDescent="0.25">
      <c r="A56" s="1" t="s">
        <v>34</v>
      </c>
      <c r="B56" s="2">
        <v>46291</v>
      </c>
      <c r="C56" s="1">
        <v>0</v>
      </c>
      <c r="D56" s="1">
        <v>1</v>
      </c>
    </row>
    <row r="57" spans="1:4" ht="12.95" customHeight="1" x14ac:dyDescent="0.25">
      <c r="A57" s="1" t="s">
        <v>33</v>
      </c>
      <c r="B57" s="2">
        <v>46293</v>
      </c>
      <c r="C57" s="1">
        <v>0</v>
      </c>
      <c r="D57" s="1">
        <v>1</v>
      </c>
    </row>
    <row r="58" spans="1:4" ht="12.95" customHeight="1" x14ac:dyDescent="0.25">
      <c r="A58" s="1" t="s">
        <v>33</v>
      </c>
      <c r="B58" s="2">
        <v>46283</v>
      </c>
      <c r="C58" s="1">
        <v>0</v>
      </c>
      <c r="D58" s="1">
        <v>1</v>
      </c>
    </row>
    <row r="59" spans="1:4" ht="12.95" customHeight="1" x14ac:dyDescent="0.25">
      <c r="A59" s="1" t="s">
        <v>34</v>
      </c>
      <c r="B59" s="2">
        <v>46289</v>
      </c>
      <c r="C59" s="1">
        <v>0</v>
      </c>
      <c r="D59" s="1">
        <v>1</v>
      </c>
    </row>
    <row r="60" spans="1:4" ht="12.95" customHeight="1" x14ac:dyDescent="0.25">
      <c r="A60" s="1" t="s">
        <v>33</v>
      </c>
      <c r="B60" s="2">
        <v>46283</v>
      </c>
      <c r="C60" s="1">
        <v>0</v>
      </c>
      <c r="D60" s="1">
        <v>1</v>
      </c>
    </row>
    <row r="61" spans="1:4" ht="12.95" customHeight="1" x14ac:dyDescent="0.25">
      <c r="A61" s="1" t="s">
        <v>34</v>
      </c>
      <c r="B61" s="2">
        <v>46290</v>
      </c>
      <c r="C61" s="1">
        <v>0</v>
      </c>
      <c r="D61" s="1">
        <v>1</v>
      </c>
    </row>
    <row r="62" spans="1:4" ht="12.95" customHeight="1" x14ac:dyDescent="0.25">
      <c r="A62" s="1" t="s">
        <v>33</v>
      </c>
      <c r="B62" s="2">
        <v>46293</v>
      </c>
      <c r="C62" s="1">
        <v>0</v>
      </c>
      <c r="D62" s="1">
        <v>1</v>
      </c>
    </row>
    <row r="63" spans="1:4" ht="12.95" customHeight="1" x14ac:dyDescent="0.25">
      <c r="A63" s="1" t="s">
        <v>34</v>
      </c>
      <c r="B63" s="2">
        <v>46284</v>
      </c>
      <c r="C63" s="1">
        <v>0</v>
      </c>
      <c r="D63" s="1">
        <v>1</v>
      </c>
    </row>
    <row r="64" spans="1:4" ht="12.95" customHeight="1" x14ac:dyDescent="0.25">
      <c r="A64" s="1" t="s">
        <v>34</v>
      </c>
      <c r="B64" s="2">
        <v>46281</v>
      </c>
      <c r="C64" s="1">
        <v>0</v>
      </c>
      <c r="D64" s="1">
        <v>1</v>
      </c>
    </row>
    <row r="65" spans="1:4" ht="12.95" customHeight="1" x14ac:dyDescent="0.25">
      <c r="A65" s="1" t="s">
        <v>34</v>
      </c>
      <c r="B65" s="2">
        <v>46286</v>
      </c>
      <c r="C65" s="1">
        <v>0</v>
      </c>
      <c r="D65" s="1">
        <v>1</v>
      </c>
    </row>
    <row r="66" spans="1:4" ht="12.95" customHeight="1" x14ac:dyDescent="0.25">
      <c r="A66" s="1" t="s">
        <v>33</v>
      </c>
      <c r="B66" s="2">
        <v>46298</v>
      </c>
      <c r="C66" s="1">
        <v>0</v>
      </c>
      <c r="D66" s="1">
        <v>1</v>
      </c>
    </row>
    <row r="67" spans="1:4" ht="12.95" customHeight="1" x14ac:dyDescent="0.25">
      <c r="A67" s="1" t="s">
        <v>33</v>
      </c>
      <c r="B67" s="2">
        <v>46283</v>
      </c>
      <c r="C67" s="1">
        <v>0</v>
      </c>
      <c r="D67" s="1">
        <v>1</v>
      </c>
    </row>
    <row r="68" spans="1:4" ht="12.95" customHeight="1" x14ac:dyDescent="0.25">
      <c r="A68" s="1" t="s">
        <v>34</v>
      </c>
      <c r="B68" s="2">
        <v>46284</v>
      </c>
      <c r="C68" s="1">
        <v>0</v>
      </c>
      <c r="D68" s="1">
        <v>1</v>
      </c>
    </row>
    <row r="69" spans="1:4" ht="12.95" customHeight="1" x14ac:dyDescent="0.25">
      <c r="A69" s="1" t="s">
        <v>33</v>
      </c>
      <c r="B69" s="2">
        <v>46284</v>
      </c>
      <c r="C69" s="1">
        <v>0</v>
      </c>
      <c r="D69" s="1">
        <v>1</v>
      </c>
    </row>
    <row r="70" spans="1:4" ht="12.95" customHeight="1" x14ac:dyDescent="0.25">
      <c r="A70" s="1" t="s">
        <v>33</v>
      </c>
      <c r="B70" s="2">
        <v>46286</v>
      </c>
      <c r="C70" s="1">
        <v>0</v>
      </c>
      <c r="D70" s="1">
        <v>1</v>
      </c>
    </row>
    <row r="71" spans="1:4" ht="12.95" customHeight="1" x14ac:dyDescent="0.25">
      <c r="A71" s="1" t="s">
        <v>33</v>
      </c>
      <c r="B71" s="2">
        <v>46287</v>
      </c>
      <c r="C71" s="1">
        <v>0</v>
      </c>
      <c r="D71" s="1">
        <v>1</v>
      </c>
    </row>
    <row r="72" spans="1:4" ht="12.95" customHeight="1" x14ac:dyDescent="0.25">
      <c r="A72" s="1" t="s">
        <v>33</v>
      </c>
      <c r="B72" s="2">
        <v>46283</v>
      </c>
      <c r="C72" s="1">
        <v>0</v>
      </c>
      <c r="D72" s="1">
        <v>1</v>
      </c>
    </row>
    <row r="73" spans="1:4" ht="12.95" customHeight="1" x14ac:dyDescent="0.25">
      <c r="A73" s="1" t="s">
        <v>34</v>
      </c>
      <c r="B73" s="2">
        <v>46281</v>
      </c>
      <c r="C73" s="1">
        <v>0</v>
      </c>
      <c r="D73" s="1">
        <v>1</v>
      </c>
    </row>
    <row r="74" spans="1:4" ht="12.95" customHeight="1" x14ac:dyDescent="0.25">
      <c r="A74" s="1" t="s">
        <v>34</v>
      </c>
      <c r="B74" s="2">
        <v>46287</v>
      </c>
      <c r="C74" s="1">
        <v>0</v>
      </c>
      <c r="D74" s="1">
        <v>1</v>
      </c>
    </row>
    <row r="75" spans="1:4" ht="12.95" customHeight="1" x14ac:dyDescent="0.25">
      <c r="A75" s="1" t="s">
        <v>34</v>
      </c>
      <c r="B75" s="2">
        <v>46290</v>
      </c>
      <c r="C75" s="1">
        <v>0</v>
      </c>
      <c r="D75" s="1">
        <v>1</v>
      </c>
    </row>
    <row r="76" spans="1:4" ht="12.95" customHeight="1" x14ac:dyDescent="0.25">
      <c r="A76" s="1" t="s">
        <v>34</v>
      </c>
      <c r="B76" s="2">
        <v>46293</v>
      </c>
      <c r="C76" s="1">
        <v>0</v>
      </c>
      <c r="D76" s="1">
        <v>1</v>
      </c>
    </row>
    <row r="77" spans="1:4" ht="12.95" customHeight="1" x14ac:dyDescent="0.25">
      <c r="A77" s="1" t="s">
        <v>33</v>
      </c>
      <c r="B77" s="2">
        <v>46294</v>
      </c>
      <c r="C77" s="1">
        <v>0</v>
      </c>
      <c r="D77" s="1">
        <v>1</v>
      </c>
    </row>
    <row r="78" spans="1:4" ht="12.95" customHeight="1" x14ac:dyDescent="0.25">
      <c r="A78" s="1" t="s">
        <v>34</v>
      </c>
      <c r="B78" s="2">
        <v>46291</v>
      </c>
      <c r="C78" s="1">
        <v>0</v>
      </c>
      <c r="D78" s="1">
        <v>1</v>
      </c>
    </row>
    <row r="79" spans="1:4" ht="12.95" customHeight="1" x14ac:dyDescent="0.25">
      <c r="A79" s="1" t="s">
        <v>34</v>
      </c>
      <c r="B79" s="2">
        <v>46290</v>
      </c>
      <c r="C79" s="1">
        <v>0</v>
      </c>
      <c r="D79" s="1">
        <v>1</v>
      </c>
    </row>
    <row r="80" spans="1:4" ht="12.95" customHeight="1" x14ac:dyDescent="0.25">
      <c r="A80" s="1" t="s">
        <v>34</v>
      </c>
      <c r="B80" s="2">
        <v>46283</v>
      </c>
      <c r="C80" s="1">
        <v>0</v>
      </c>
      <c r="D80" s="1">
        <v>1</v>
      </c>
    </row>
    <row r="81" spans="1:4" ht="12.95" customHeight="1" x14ac:dyDescent="0.25">
      <c r="A81" s="1" t="s">
        <v>33</v>
      </c>
      <c r="B81" s="2">
        <v>46282</v>
      </c>
      <c r="C81" s="1">
        <v>0</v>
      </c>
      <c r="D81" s="1">
        <v>1</v>
      </c>
    </row>
    <row r="82" spans="1:4" ht="12.95" customHeight="1" x14ac:dyDescent="0.25">
      <c r="A82" s="1" t="s">
        <v>33</v>
      </c>
      <c r="B82" s="2">
        <v>46286</v>
      </c>
      <c r="C82" s="1">
        <v>0</v>
      </c>
      <c r="D82" s="1">
        <v>1</v>
      </c>
    </row>
    <row r="83" spans="1:4" ht="12.95" customHeight="1" x14ac:dyDescent="0.25">
      <c r="A83" s="1" t="s">
        <v>34</v>
      </c>
      <c r="B83" s="2">
        <v>46281</v>
      </c>
      <c r="C83" s="1">
        <v>0</v>
      </c>
      <c r="D83" s="1">
        <v>1</v>
      </c>
    </row>
    <row r="84" spans="1:4" ht="12.95" customHeight="1" x14ac:dyDescent="0.25">
      <c r="A84" s="1" t="s">
        <v>33</v>
      </c>
      <c r="B84" s="2">
        <v>46283</v>
      </c>
      <c r="C84" s="1">
        <v>0</v>
      </c>
      <c r="D84" s="1">
        <v>1</v>
      </c>
    </row>
    <row r="85" spans="1:4" ht="12.95" customHeight="1" x14ac:dyDescent="0.25">
      <c r="A85" s="1" t="s">
        <v>33</v>
      </c>
      <c r="B85" s="2">
        <v>46277</v>
      </c>
      <c r="C85" s="1">
        <v>0</v>
      </c>
      <c r="D85" s="1">
        <v>1</v>
      </c>
    </row>
    <row r="86" spans="1:4" ht="12.95" customHeight="1" x14ac:dyDescent="0.25">
      <c r="A86" s="1" t="s">
        <v>33</v>
      </c>
      <c r="B86" s="2">
        <v>46270</v>
      </c>
      <c r="C86" s="1">
        <v>0</v>
      </c>
      <c r="D86" s="1">
        <v>1</v>
      </c>
    </row>
    <row r="87" spans="1:4" ht="12.95" customHeight="1" x14ac:dyDescent="0.25">
      <c r="A87" s="1" t="s">
        <v>33</v>
      </c>
      <c r="B87" s="2">
        <v>46270</v>
      </c>
      <c r="C87" s="1">
        <v>0</v>
      </c>
      <c r="D87" s="1">
        <v>1</v>
      </c>
    </row>
    <row r="88" spans="1:4" ht="12.95" customHeight="1" x14ac:dyDescent="0.25">
      <c r="A88" s="1" t="s">
        <v>33</v>
      </c>
      <c r="B88" s="2">
        <v>46270</v>
      </c>
      <c r="C88" s="1">
        <v>0</v>
      </c>
      <c r="D88" s="1">
        <v>1</v>
      </c>
    </row>
    <row r="89" spans="1:4" ht="12.95" customHeight="1" x14ac:dyDescent="0.25">
      <c r="A89" s="1" t="s">
        <v>33</v>
      </c>
      <c r="B89" s="2">
        <v>46272</v>
      </c>
      <c r="C89" s="1">
        <v>0</v>
      </c>
      <c r="D89" s="1">
        <v>1</v>
      </c>
    </row>
    <row r="90" spans="1:4" ht="12.95" customHeight="1" x14ac:dyDescent="0.25">
      <c r="A90" s="1" t="s">
        <v>33</v>
      </c>
      <c r="B90" s="2">
        <v>46272</v>
      </c>
      <c r="C90" s="1">
        <v>0</v>
      </c>
      <c r="D90" s="1">
        <v>1</v>
      </c>
    </row>
    <row r="91" spans="1:4" ht="12.95" customHeight="1" x14ac:dyDescent="0.25">
      <c r="A91" s="1" t="s">
        <v>33</v>
      </c>
      <c r="B91" s="2">
        <v>46272</v>
      </c>
      <c r="C91" s="1">
        <v>0</v>
      </c>
      <c r="D91" s="1">
        <v>1</v>
      </c>
    </row>
    <row r="92" spans="1:4" ht="12.95" customHeight="1" x14ac:dyDescent="0.25">
      <c r="A92" s="1" t="s">
        <v>33</v>
      </c>
      <c r="B92" s="2">
        <v>46279</v>
      </c>
      <c r="C92" s="1">
        <v>0</v>
      </c>
      <c r="D92" s="1">
        <v>1</v>
      </c>
    </row>
    <row r="93" spans="1:4" ht="12.95" customHeight="1" x14ac:dyDescent="0.25">
      <c r="A93" s="1" t="s">
        <v>33</v>
      </c>
      <c r="B93" s="2">
        <v>46279</v>
      </c>
      <c r="C93" s="1">
        <v>0</v>
      </c>
      <c r="D93" s="1">
        <v>1</v>
      </c>
    </row>
    <row r="94" spans="1:4" ht="12.95" customHeight="1" x14ac:dyDescent="0.25">
      <c r="A94" s="1" t="s">
        <v>33</v>
      </c>
      <c r="B94" s="2">
        <v>46279</v>
      </c>
      <c r="C94" s="1">
        <v>0</v>
      </c>
      <c r="D94" s="1">
        <v>1</v>
      </c>
    </row>
    <row r="95" spans="1:4" ht="12.95" customHeight="1" x14ac:dyDescent="0.25">
      <c r="A95" s="1" t="s">
        <v>34</v>
      </c>
      <c r="B95" s="2">
        <v>46279</v>
      </c>
      <c r="C95" s="1">
        <v>0</v>
      </c>
      <c r="D95" s="1">
        <v>1</v>
      </c>
    </row>
    <row r="96" spans="1:4" ht="12.95" customHeight="1" x14ac:dyDescent="0.25">
      <c r="A96" s="1" t="s">
        <v>33</v>
      </c>
      <c r="B96" s="2">
        <v>46280</v>
      </c>
      <c r="C96" s="1">
        <v>0</v>
      </c>
      <c r="D96" s="1">
        <v>1</v>
      </c>
    </row>
    <row r="97" spans="1:4" ht="12.95" customHeight="1" x14ac:dyDescent="0.25">
      <c r="A97" s="1" t="s">
        <v>33</v>
      </c>
      <c r="B97" s="2">
        <v>46280</v>
      </c>
      <c r="C97" s="1">
        <v>0</v>
      </c>
      <c r="D97" s="1">
        <v>1</v>
      </c>
    </row>
    <row r="98" spans="1:4" ht="12.95" customHeight="1" x14ac:dyDescent="0.25">
      <c r="A98" s="1" t="s">
        <v>33</v>
      </c>
      <c r="B98" s="2">
        <v>46280</v>
      </c>
      <c r="C98" s="1">
        <v>0</v>
      </c>
      <c r="D98" s="1">
        <v>1</v>
      </c>
    </row>
    <row r="99" spans="1:4" ht="12.95" customHeight="1" x14ac:dyDescent="0.25">
      <c r="A99" s="1" t="s">
        <v>33</v>
      </c>
      <c r="B99" s="2">
        <v>46289</v>
      </c>
      <c r="C99" s="1">
        <v>0</v>
      </c>
      <c r="D99" s="1">
        <v>2</v>
      </c>
    </row>
    <row r="100" spans="1:4" ht="12.95" customHeight="1" x14ac:dyDescent="0.25">
      <c r="A100" s="1" t="s">
        <v>33</v>
      </c>
      <c r="B100" s="2">
        <v>46281</v>
      </c>
      <c r="C100" s="1">
        <v>0</v>
      </c>
      <c r="D100" s="1">
        <v>2</v>
      </c>
    </row>
    <row r="101" spans="1:4" ht="12.95" customHeight="1" x14ac:dyDescent="0.25">
      <c r="A101" s="1" t="s">
        <v>34</v>
      </c>
      <c r="B101" s="2">
        <v>46291</v>
      </c>
      <c r="C101" s="1">
        <v>0</v>
      </c>
      <c r="D101" s="1">
        <v>2</v>
      </c>
    </row>
    <row r="102" spans="1:4" ht="12.95" customHeight="1" x14ac:dyDescent="0.25">
      <c r="A102" s="1" t="s">
        <v>33</v>
      </c>
      <c r="B102" s="2">
        <v>46286</v>
      </c>
      <c r="C102" s="1">
        <v>0</v>
      </c>
      <c r="D102" s="1">
        <v>2</v>
      </c>
    </row>
    <row r="103" spans="1:4" ht="12.95" customHeight="1" x14ac:dyDescent="0.25">
      <c r="A103" s="1" t="s">
        <v>34</v>
      </c>
      <c r="B103" s="2">
        <v>46281</v>
      </c>
      <c r="C103" s="1">
        <v>0</v>
      </c>
      <c r="D103" s="1">
        <v>2</v>
      </c>
    </row>
    <row r="104" spans="1:4" ht="12.95" customHeight="1" x14ac:dyDescent="0.25">
      <c r="A104" s="1" t="s">
        <v>33</v>
      </c>
      <c r="B104" s="2">
        <v>46286</v>
      </c>
      <c r="C104" s="1">
        <v>0</v>
      </c>
      <c r="D104" s="1">
        <v>3</v>
      </c>
    </row>
    <row r="105" spans="1:4" ht="12.95" customHeight="1" x14ac:dyDescent="0.25">
      <c r="A105" s="1" t="s">
        <v>33</v>
      </c>
      <c r="B105" s="2">
        <v>46281</v>
      </c>
      <c r="C105" s="1">
        <v>0</v>
      </c>
      <c r="D105" s="1">
        <v>4</v>
      </c>
    </row>
    <row r="106" spans="1:4" ht="12.95" customHeight="1" x14ac:dyDescent="0.25">
      <c r="A106" s="1" t="s">
        <v>34</v>
      </c>
      <c r="B106" s="2">
        <v>46280</v>
      </c>
      <c r="C106" s="1">
        <v>0</v>
      </c>
      <c r="D106" s="1">
        <v>4</v>
      </c>
    </row>
    <row r="107" spans="1:4" ht="12.95" customHeight="1" x14ac:dyDescent="0.25">
      <c r="A107" s="1" t="s">
        <v>34</v>
      </c>
      <c r="B107" s="2">
        <v>46284</v>
      </c>
      <c r="C107" s="1">
        <v>0</v>
      </c>
      <c r="D107" s="1">
        <v>6</v>
      </c>
    </row>
    <row r="108" spans="1:4" ht="12.95" customHeight="1" x14ac:dyDescent="0.25">
      <c r="A108" s="1" t="s">
        <v>34</v>
      </c>
      <c r="B108" s="2">
        <v>46291</v>
      </c>
      <c r="C108" s="1">
        <v>0</v>
      </c>
      <c r="D108" s="1">
        <v>6</v>
      </c>
    </row>
    <row r="109" spans="1:4" ht="12.95" customHeight="1" x14ac:dyDescent="0.25">
      <c r="A109" s="1" t="s">
        <v>34</v>
      </c>
      <c r="B109" s="2">
        <v>46279</v>
      </c>
      <c r="C109" s="1">
        <v>0</v>
      </c>
      <c r="D109" s="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8"/>
  <sheetViews>
    <sheetView showGridLines="0" tabSelected="1" workbookViewId="0">
      <selection activeCell="B28" sqref="B28:H28"/>
    </sheetView>
  </sheetViews>
  <sheetFormatPr defaultRowHeight="14.25" x14ac:dyDescent="0.2"/>
  <cols>
    <col min="1" max="1" width="3.25" style="32" bestFit="1" customWidth="1"/>
    <col min="2" max="2" width="20" customWidth="1"/>
    <col min="3" max="3" width="7.375" bestFit="1" customWidth="1"/>
    <col min="4" max="4" width="7.625" bestFit="1" customWidth="1"/>
    <col min="5" max="5" width="12" bestFit="1" customWidth="1"/>
    <col min="6" max="6" width="5.25" bestFit="1" customWidth="1"/>
    <col min="7" max="7" width="5" bestFit="1" customWidth="1"/>
    <col min="8" max="8" width="20" bestFit="1" customWidth="1"/>
    <col min="9" max="9" width="7.375" bestFit="1" customWidth="1"/>
    <col min="10" max="10" width="7.625" bestFit="1" customWidth="1"/>
    <col min="11" max="11" width="12" bestFit="1" customWidth="1"/>
    <col min="12" max="12" width="5.25" bestFit="1" customWidth="1"/>
    <col min="13" max="13" width="8.375" bestFit="1" customWidth="1"/>
    <col min="14" max="14" width="5.25" bestFit="1" customWidth="1"/>
    <col min="15" max="15" width="5" bestFit="1" customWidth="1"/>
    <col min="16" max="16" width="5.25" bestFit="1" customWidth="1"/>
  </cols>
  <sheetData>
    <row r="1" spans="1:16" ht="15" x14ac:dyDescent="0.25">
      <c r="A1" s="28" t="str">
        <f>"Stock vs Booking Report - Reefer (20'RE / 40'RH)  as of "&amp;DAY(Control!$B$1)&amp;" "&amp;CHOOSE(MONTH(Control!$B$1),"JAN","FEB","MAR","APR","MAY","JUN","JUL","AUG","SEP","OCT","NOV","DEC")&amp;" "&amp;YEAR(Control!$B$1)</f>
        <v>Stock vs Booking Report - Reefer (20'RE / 40'RH)  as of 16 SEP 2026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1"/>
      <c r="M1" s="1"/>
      <c r="N1" s="1"/>
      <c r="O1" s="1"/>
      <c r="P1" s="1"/>
    </row>
    <row r="2" spans="1:16" ht="15" x14ac:dyDescent="0.25">
      <c r="A2" s="30"/>
      <c r="B2" s="25" t="s">
        <v>0</v>
      </c>
      <c r="C2" s="26"/>
      <c r="D2" s="26"/>
      <c r="E2" s="1"/>
      <c r="F2" s="1"/>
      <c r="G2" s="1"/>
      <c r="H2" s="25" t="s">
        <v>1</v>
      </c>
      <c r="I2" s="26"/>
      <c r="J2" s="26"/>
      <c r="K2" s="1"/>
      <c r="L2" s="1"/>
      <c r="M2" s="4" t="s">
        <v>2</v>
      </c>
      <c r="N2" s="5" t="s">
        <v>3</v>
      </c>
      <c r="O2" s="5" t="s">
        <v>4</v>
      </c>
      <c r="P2" s="1"/>
    </row>
    <row r="3" spans="1:16" ht="15" x14ac:dyDescent="0.25">
      <c r="A3" s="31" t="s">
        <v>5</v>
      </c>
      <c r="B3" s="3"/>
      <c r="C3" s="3" t="s">
        <v>6</v>
      </c>
      <c r="D3" s="3" t="s">
        <v>7</v>
      </c>
      <c r="E3" s="1"/>
      <c r="F3" s="1"/>
      <c r="G3" s="3" t="s">
        <v>5</v>
      </c>
      <c r="H3" s="3"/>
      <c r="I3" s="3" t="s">
        <v>6</v>
      </c>
      <c r="J3" s="3" t="s">
        <v>7</v>
      </c>
      <c r="K3" s="1"/>
      <c r="L3" s="1"/>
      <c r="M3" s="1" t="s">
        <v>8</v>
      </c>
      <c r="N3" s="6">
        <f>C4</f>
        <v>31</v>
      </c>
      <c r="O3" s="6">
        <f>D4</f>
        <v>50</v>
      </c>
      <c r="P3" s="1"/>
    </row>
    <row r="4" spans="1:16" ht="15" x14ac:dyDescent="0.25">
      <c r="A4" s="30"/>
      <c r="B4" s="7" t="s">
        <v>9</v>
      </c>
      <c r="C4" s="8">
        <v>31</v>
      </c>
      <c r="D4" s="8">
        <v>50</v>
      </c>
      <c r="E4" s="1"/>
      <c r="F4" s="1"/>
      <c r="G4" s="1"/>
      <c r="H4" s="7" t="s">
        <v>9</v>
      </c>
      <c r="I4" s="8">
        <v>8</v>
      </c>
      <c r="J4" s="8">
        <v>63</v>
      </c>
      <c r="K4" s="1"/>
      <c r="L4" s="1"/>
      <c r="M4" s="1" t="s">
        <v>10</v>
      </c>
      <c r="N4" s="6">
        <f>I4</f>
        <v>8</v>
      </c>
      <c r="O4" s="6">
        <f>J4</f>
        <v>63</v>
      </c>
      <c r="P4" s="1"/>
    </row>
    <row r="5" spans="1:16" ht="15" x14ac:dyDescent="0.25">
      <c r="A5" s="30">
        <f>Control!$A$4</f>
        <v>38</v>
      </c>
      <c r="B5" s="1" t="s">
        <v>11</v>
      </c>
      <c r="C5" s="1">
        <f>SUMIFS(BookingRaw!$C$2:$C$8000,BookingRaw!$A$2:$A$8000,"BKK27",BookingRaw!$B$2:$B$8000,"&lt;"&amp;Control!$B$1)</f>
        <v>0</v>
      </c>
      <c r="D5" s="1">
        <f>SUMIFS(BookingRaw!$D$2:$D$8000,BookingRaw!$A$2:$A$8000,"BKK27",BookingRaw!$B$2:$B$8000,"&lt;"&amp;Control!$B$1)</f>
        <v>8</v>
      </c>
      <c r="E5" s="1"/>
      <c r="F5" s="1"/>
      <c r="G5" s="1">
        <f>Control!$A$4</f>
        <v>38</v>
      </c>
      <c r="H5" s="1" t="s">
        <v>11</v>
      </c>
      <c r="I5" s="1">
        <f>SUMIFS(BookingRaw!$C$2:$C$8000,BookingRaw!$A$2:$A$8000,"LCH27",BookingRaw!$B$2:$B$8000,"&lt;"&amp;Control!$B$1)</f>
        <v>0</v>
      </c>
      <c r="J5" s="1">
        <f>SUMIFS(BookingRaw!$D$2:$D$8000,BookingRaw!$A$2:$A$8000,"LCH27",BookingRaw!$B$2:$B$8000,"&lt;"&amp;Control!$B$1)</f>
        <v>13</v>
      </c>
      <c r="K5" s="1"/>
      <c r="L5" s="1"/>
      <c r="M5" s="9" t="s">
        <v>12</v>
      </c>
      <c r="N5" s="5">
        <f>SUM(N3:N4)</f>
        <v>39</v>
      </c>
      <c r="O5" s="5">
        <f>SUM(O3:O4)</f>
        <v>113</v>
      </c>
      <c r="P5" s="1"/>
    </row>
    <row r="6" spans="1:16" ht="15" x14ac:dyDescent="0.25">
      <c r="A6" s="30">
        <f>Control!$A$4</f>
        <v>38</v>
      </c>
      <c r="B6" s="1" t="str">
        <f>"Booking on "&amp;DAY(Control!$B$1)&amp;" "&amp;CHOOSE(MONTH(Control!$B$1),"JAN","FEB","MAR","APR","MAY","JUN","JUL","AUG","SEP","OCT","NOV","DEC")</f>
        <v>Booking on 16 SEP</v>
      </c>
      <c r="C6" s="1">
        <f>SUMIFS(BookingRaw!$C$2:$C$8000,BookingRaw!$A$2:$A$8000,"BKK27",BookingRaw!$B$2:$B$8000,"="&amp;Control!$B$1)</f>
        <v>2</v>
      </c>
      <c r="D6" s="1">
        <f>SUMIFS(BookingRaw!$D$2:$D$8000,BookingRaw!$A$2:$A$8000,"BKK27",BookingRaw!$B$2:$B$8000,"="&amp;Control!$B$1)</f>
        <v>6</v>
      </c>
      <c r="E6" s="1"/>
      <c r="F6" s="1"/>
      <c r="G6" s="1">
        <f>Control!$A$4</f>
        <v>38</v>
      </c>
      <c r="H6" s="1" t="str">
        <f>"Booking on "&amp;DAY(Control!$B$1)&amp;" "&amp;CHOOSE(MONTH(Control!$B$1),"JAN","FEB","MAR","APR","MAY","JUN","JUL","AUG","SEP","OCT","NOV","DEC")</f>
        <v>Booking on 16 SEP</v>
      </c>
      <c r="I6" s="1">
        <f>SUMIFS(BookingRaw!$C$2:$C$8000,BookingRaw!$A$2:$A$8000,"LCH27",BookingRaw!$B$2:$B$8000,"="&amp;Control!$B$1)</f>
        <v>0</v>
      </c>
      <c r="J6" s="1">
        <f>SUMIFS(BookingRaw!$D$2:$D$8000,BookingRaw!$A$2:$A$8000,"LCH27",BookingRaw!$B$2:$B$8000,"="&amp;Control!$B$1)</f>
        <v>8</v>
      </c>
      <c r="K6" s="1"/>
      <c r="L6" s="1"/>
      <c r="M6" s="1"/>
      <c r="N6" s="1"/>
      <c r="O6" s="1"/>
      <c r="P6" s="1"/>
    </row>
    <row r="7" spans="1:16" ht="15" x14ac:dyDescent="0.25">
      <c r="A7" s="30">
        <f>Control!$A$4</f>
        <v>38</v>
      </c>
      <c r="B7" s="1" t="str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17-19 SEP</v>
      </c>
      <c r="C7" s="1">
        <f>SUMIFS(BookingRaw!$C$2:$C$8000,BookingRaw!$A$2:$A$8000,"BKK27",BookingRaw!$B$2:$B$8000,"&gt;="&amp;Control!$B$9,BookingRaw!$B$2:$B$8000,"&lt;="&amp;Control!$C$4)</f>
        <v>6</v>
      </c>
      <c r="D7" s="1">
        <f>SUMIFS(BookingRaw!$D$2:$D$8000,BookingRaw!$A$2:$A$8000,"BKK27",BookingRaw!$B$2:$B$8000,"&gt;="&amp;Control!$B$9,BookingRaw!$B$2:$B$8000,"&lt;="&amp;Control!$C$4)</f>
        <v>19</v>
      </c>
      <c r="E7" s="1"/>
      <c r="F7" s="1"/>
      <c r="G7" s="1">
        <f>Control!$A$4</f>
        <v>38</v>
      </c>
      <c r="H7" s="1" t="str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>Booking on 17-19 SEP</v>
      </c>
      <c r="I7" s="1">
        <f>SUMIFS(BookingRaw!$C$2:$C$8000,BookingRaw!$A$2:$A$8000,"LCH27",BookingRaw!$B$2:$B$8000,"&gt;="&amp;Control!$B$9,BookingRaw!$B$2:$B$8000,"&lt;="&amp;Control!$C$4)</f>
        <v>0</v>
      </c>
      <c r="J7" s="1">
        <f>SUMIFS(BookingRaw!$D$2:$D$8000,BookingRaw!$A$2:$A$8000,"LCH27",BookingRaw!$B$2:$B$8000,"&gt;="&amp;Control!$B$9,BookingRaw!$B$2:$B$8000,"&lt;="&amp;Control!$C$4)</f>
        <v>13</v>
      </c>
      <c r="K7" s="1"/>
      <c r="L7" s="1"/>
      <c r="M7" s="4" t="s">
        <v>13</v>
      </c>
      <c r="N7" s="5" t="s">
        <v>3</v>
      </c>
      <c r="O7" s="5" t="s">
        <v>4</v>
      </c>
      <c r="P7" s="1"/>
    </row>
    <row r="8" spans="1:16" ht="15" x14ac:dyDescent="0.25">
      <c r="A8" s="30"/>
      <c r="B8" s="10" t="str">
        <f>"AV Balance till "&amp;DAY(Control!$C$4)&amp;" "&amp;CHOOSE(MONTH(Control!$C$4),"JAN","FEB","MAR","APR","MAY","JUN","JUL","AUG","SEP","OCT","NOV","DEC")</f>
        <v>AV Balance till 19 SEP</v>
      </c>
      <c r="C8" s="23">
        <f>C4-C5-C6-C7</f>
        <v>23</v>
      </c>
      <c r="D8" s="23">
        <f>D4-D5-D6-D7</f>
        <v>17</v>
      </c>
      <c r="E8" s="1"/>
      <c r="F8" s="1"/>
      <c r="G8" s="1"/>
      <c r="H8" s="10" t="str">
        <f>"AV Balance till "&amp;DAY(Control!$C$4)&amp;" "&amp;CHOOSE(MONTH(Control!$C$4),"JAN","FEB","MAR","APR","MAY","JUN","JUL","AUG","SEP","OCT","NOV","DEC")</f>
        <v>AV Balance till 19 SEP</v>
      </c>
      <c r="I8" s="23">
        <f>I4-I5-I6-I7</f>
        <v>8</v>
      </c>
      <c r="J8" s="23">
        <f>J4-J5-J6-J7</f>
        <v>29</v>
      </c>
      <c r="K8" s="1"/>
      <c r="L8" s="1"/>
      <c r="M8" s="1" t="s">
        <v>8</v>
      </c>
      <c r="N8" s="6">
        <f>C5+C6+C7+C9+C11</f>
        <v>15</v>
      </c>
      <c r="O8" s="6">
        <f>D5+D6+D7+D9+D11</f>
        <v>59</v>
      </c>
      <c r="P8" s="1"/>
    </row>
    <row r="9" spans="1:16" ht="15" x14ac:dyDescent="0.25">
      <c r="A9" s="30">
        <f>Control!$A$5</f>
        <v>39</v>
      </c>
      <c r="B9" s="1" t="str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>Booking on 21-26 SEP</v>
      </c>
      <c r="C9" s="1">
        <f>SUMIFS(BookingRaw!$C$2:$C$8000,BookingRaw!$A$2:$A$8000,"BKK27",BookingRaw!$B$2:$B$8000,"&gt;="&amp;Control!$B5,BookingRaw!$B$2:$B$8000,"&lt;="&amp;Control!$C5)</f>
        <v>5</v>
      </c>
      <c r="D9" s="1">
        <f>SUMIFS(BookingRaw!$D$2:$D$8000,BookingRaw!$A$2:$A$8000,"BKK27",BookingRaw!$B$2:$B$8000,"&gt;="&amp;Control!$B5,BookingRaw!$B$2:$B$8000,"&lt;="&amp;Control!$C5)</f>
        <v>25</v>
      </c>
      <c r="E9" s="1"/>
      <c r="F9" s="1"/>
      <c r="G9" s="1">
        <f>Control!$A$5</f>
        <v>39</v>
      </c>
      <c r="H9" s="1" t="str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>Booking on 21-26 SEP</v>
      </c>
      <c r="I9" s="1">
        <f>SUMIFS(BookingRaw!$C$2:$C$8000,BookingRaw!$A$2:$A$8000,"LCH27",BookingRaw!$B$2:$B$8000,"&gt;="&amp;Control!$B5,BookingRaw!$B$2:$B$8000,"&lt;="&amp;Control!$C5)</f>
        <v>2</v>
      </c>
      <c r="J9" s="1">
        <f>SUMIFS(BookingRaw!$D$2:$D$8000,BookingRaw!$A$2:$A$8000,"LCH27",BookingRaw!$B$2:$B$8000,"&gt;="&amp;Control!$B5,BookingRaw!$B$2:$B$8000,"&lt;="&amp;Control!$C5)</f>
        <v>18</v>
      </c>
      <c r="K9" s="1"/>
      <c r="L9" s="1"/>
      <c r="M9" s="1" t="s">
        <v>10</v>
      </c>
      <c r="N9" s="6">
        <f>I5+I6+I7+I9+I11</f>
        <v>2</v>
      </c>
      <c r="O9" s="6">
        <f>J5+J6+J7+J9+J11</f>
        <v>57</v>
      </c>
      <c r="P9" s="1"/>
    </row>
    <row r="10" spans="1:16" ht="15" x14ac:dyDescent="0.25">
      <c r="A10" s="30"/>
      <c r="B10" s="10" t="str">
        <f>"AV Balance till "&amp;DAY(Control!$C5)&amp;" "&amp;CHOOSE(MONTH(Control!$C5),"JAN","FEB","MAR","APR","MAY","JUN","JUL","AUG","SEP","OCT","NOV","DEC")</f>
        <v>AV Balance till 26 SEP</v>
      </c>
      <c r="C10" s="23">
        <f>C8-C9</f>
        <v>18</v>
      </c>
      <c r="D10" s="24">
        <f>D8-D9</f>
        <v>-8</v>
      </c>
      <c r="E10" s="1"/>
      <c r="F10" s="1"/>
      <c r="G10" s="1"/>
      <c r="H10" s="10" t="str">
        <f>"AV Balance till "&amp;DAY(Control!$C5)&amp;" "&amp;CHOOSE(MONTH(Control!$C5),"JAN","FEB","MAR","APR","MAY","JUN","JUL","AUG","SEP","OCT","NOV","DEC")</f>
        <v>AV Balance till 26 SEP</v>
      </c>
      <c r="I10" s="23">
        <f>I8-I9</f>
        <v>6</v>
      </c>
      <c r="J10" s="23">
        <f>J8-J9</f>
        <v>11</v>
      </c>
      <c r="K10" s="1"/>
      <c r="L10" s="1"/>
      <c r="M10" s="9" t="s">
        <v>12</v>
      </c>
      <c r="N10" s="5">
        <f>SUM(N8:N9)</f>
        <v>17</v>
      </c>
      <c r="O10" s="5">
        <f>SUM(O8:O9)</f>
        <v>116</v>
      </c>
      <c r="P10" s="1"/>
    </row>
    <row r="11" spans="1:16" ht="15" x14ac:dyDescent="0.25">
      <c r="A11" s="30">
        <f>Control!$A$6</f>
        <v>40</v>
      </c>
      <c r="B11" s="1" t="str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>Booking on 28 SEP-3 OCT</v>
      </c>
      <c r="C11" s="1">
        <f>SUMIFS(BookingRaw!$C$2:$C$8000,BookingRaw!$A$2:$A$8000,"BKK27",BookingRaw!$B$2:$B$8000,"&gt;="&amp;Control!$B6,BookingRaw!$B$2:$B$8000,"&lt;="&amp;Control!$C6)</f>
        <v>2</v>
      </c>
      <c r="D11" s="1">
        <f>SUMIFS(BookingRaw!$D$2:$D$8000,BookingRaw!$A$2:$A$8000,"BKK27",BookingRaw!$B$2:$B$8000,"&gt;="&amp;Control!$B6,BookingRaw!$B$2:$B$8000,"&lt;="&amp;Control!$C6)</f>
        <v>1</v>
      </c>
      <c r="E11" s="1"/>
      <c r="F11" s="1"/>
      <c r="G11" s="1">
        <f>Control!$A$6</f>
        <v>40</v>
      </c>
      <c r="H11" s="1" t="str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>Booking on 28 SEP-3 OCT</v>
      </c>
      <c r="I11" s="1">
        <f>SUMIFS(BookingRaw!$C$2:$C$8000,BookingRaw!$A$2:$A$8000,"LCH27",BookingRaw!$B$2:$B$8000,"&gt;="&amp;Control!$B6,BookingRaw!$B$2:$B$8000,"&lt;="&amp;Control!$C6)</f>
        <v>0</v>
      </c>
      <c r="J11" s="1">
        <f>SUMIFS(BookingRaw!$D$2:$D$8000,BookingRaw!$A$2:$A$8000,"LCH27",BookingRaw!$B$2:$B$8000,"&gt;="&amp;Control!$B6,BookingRaw!$B$2:$B$8000,"&lt;="&amp;Control!$C6)</f>
        <v>5</v>
      </c>
      <c r="K11" s="1"/>
      <c r="L11" s="1"/>
      <c r="M11" s="1"/>
      <c r="N11" s="1"/>
      <c r="O11" s="1"/>
      <c r="P11" s="1"/>
    </row>
    <row r="12" spans="1:16" ht="15" x14ac:dyDescent="0.25">
      <c r="A12" s="30"/>
      <c r="B12" s="10" t="str">
        <f>"AV Balance till "&amp;DAY(Control!$C6)&amp;" "&amp;CHOOSE(MONTH(Control!$C6),"JAN","FEB","MAR","APR","MAY","JUN","JUL","AUG","SEP","OCT","NOV","DEC")</f>
        <v>AV Balance till 3 OCT</v>
      </c>
      <c r="C12" s="23">
        <f>C10-C11</f>
        <v>16</v>
      </c>
      <c r="D12" s="24">
        <f>D10-D11</f>
        <v>-9</v>
      </c>
      <c r="E12" s="1"/>
      <c r="F12" s="1"/>
      <c r="G12" s="1"/>
      <c r="H12" s="10" t="str">
        <f>"AV Balance till "&amp;DAY(Control!$C6)&amp;" "&amp;CHOOSE(MONTH(Control!$C6),"JAN","FEB","MAR","APR","MAY","JUN","JUL","AUG","SEP","OCT","NOV","DEC")</f>
        <v>AV Balance till 3 OCT</v>
      </c>
      <c r="I12" s="23">
        <f>I10-I11</f>
        <v>6</v>
      </c>
      <c r="J12" s="23">
        <f>J10-J11</f>
        <v>6</v>
      </c>
      <c r="K12" s="1"/>
      <c r="L12" s="1"/>
      <c r="M12" s="4" t="s">
        <v>14</v>
      </c>
      <c r="N12" s="5" t="s">
        <v>3</v>
      </c>
      <c r="O12" s="5" t="s">
        <v>4</v>
      </c>
      <c r="P12" s="1"/>
    </row>
    <row r="13" spans="1:16" ht="15" x14ac:dyDescent="0.25">
      <c r="A13" s="30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 t="s">
        <v>8</v>
      </c>
      <c r="N13" s="6">
        <f>C12</f>
        <v>16</v>
      </c>
      <c r="O13" s="6">
        <f>D12</f>
        <v>-9</v>
      </c>
      <c r="P13" s="1"/>
    </row>
    <row r="14" spans="1:16" ht="15" x14ac:dyDescent="0.25">
      <c r="A14" s="30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 t="s">
        <v>10</v>
      </c>
      <c r="N14" s="6">
        <f>I12</f>
        <v>6</v>
      </c>
      <c r="O14" s="6">
        <f>J12</f>
        <v>6</v>
      </c>
      <c r="P14" s="1"/>
    </row>
    <row r="15" spans="1:16" ht="15" x14ac:dyDescent="0.25">
      <c r="A15" s="30"/>
      <c r="B15" s="29" t="s">
        <v>15</v>
      </c>
      <c r="C15" s="26"/>
      <c r="D15" s="26"/>
      <c r="E15" s="26"/>
      <c r="F15" s="1"/>
      <c r="G15" s="1"/>
      <c r="H15" s="29" t="s">
        <v>16</v>
      </c>
      <c r="I15" s="26"/>
      <c r="J15" s="26"/>
      <c r="K15" s="26"/>
      <c r="L15" s="1"/>
      <c r="M15" s="9" t="s">
        <v>12</v>
      </c>
      <c r="N15" s="5">
        <f>SUM(N13:N14)</f>
        <v>22</v>
      </c>
      <c r="O15" s="5">
        <f>SUM(O13:O14)</f>
        <v>-3</v>
      </c>
      <c r="P15" s="1"/>
    </row>
    <row r="16" spans="1:16" ht="15" x14ac:dyDescent="0.25">
      <c r="A16" s="30"/>
      <c r="B16" s="27" t="s">
        <v>17</v>
      </c>
      <c r="C16" s="3" t="s">
        <v>18</v>
      </c>
      <c r="D16" s="3" t="s">
        <v>19</v>
      </c>
      <c r="E16" s="3" t="s">
        <v>20</v>
      </c>
      <c r="F16" s="1"/>
      <c r="G16" s="1"/>
      <c r="H16" s="27" t="s">
        <v>17</v>
      </c>
      <c r="I16" s="3" t="s">
        <v>18</v>
      </c>
      <c r="J16" s="3" t="s">
        <v>19</v>
      </c>
      <c r="K16" s="3" t="s">
        <v>20</v>
      </c>
      <c r="L16" s="1"/>
      <c r="M16" s="1"/>
      <c r="N16" s="1"/>
      <c r="O16" s="1"/>
      <c r="P16" s="1"/>
    </row>
    <row r="17" spans="1:16" ht="15" x14ac:dyDescent="0.25">
      <c r="A17" s="30"/>
      <c r="B17" s="26"/>
      <c r="C17" s="3" t="s">
        <v>4</v>
      </c>
      <c r="D17" s="3" t="s">
        <v>4</v>
      </c>
      <c r="E17" s="3" t="s">
        <v>4</v>
      </c>
      <c r="F17" s="1"/>
      <c r="G17" s="1"/>
      <c r="H17" s="26"/>
      <c r="I17" s="3" t="s">
        <v>4</v>
      </c>
      <c r="J17" s="3" t="s">
        <v>4</v>
      </c>
      <c r="K17" s="3" t="s">
        <v>4</v>
      </c>
      <c r="L17" s="1"/>
      <c r="M17" s="1"/>
      <c r="N17" s="1"/>
      <c r="O17" s="1"/>
      <c r="P17" s="1"/>
    </row>
    <row r="18" spans="1:16" ht="15" x14ac:dyDescent="0.25">
      <c r="A18" s="30"/>
      <c r="B18" s="6">
        <v>2026</v>
      </c>
      <c r="C18" s="6">
        <v>0</v>
      </c>
      <c r="D18" s="6">
        <v>0</v>
      </c>
      <c r="E18" s="6">
        <v>0</v>
      </c>
      <c r="F18" s="1"/>
      <c r="G18" s="1"/>
      <c r="H18" s="6">
        <v>2026</v>
      </c>
      <c r="I18" s="6">
        <v>0</v>
      </c>
      <c r="J18" s="6">
        <v>0</v>
      </c>
      <c r="K18" s="6">
        <v>0</v>
      </c>
      <c r="L18" s="1"/>
      <c r="M18" s="1"/>
      <c r="N18" s="1"/>
      <c r="O18" s="1"/>
      <c r="P18" s="1"/>
    </row>
    <row r="19" spans="1:16" ht="15" x14ac:dyDescent="0.25">
      <c r="A19" s="30"/>
      <c r="B19" s="6">
        <v>2025</v>
      </c>
      <c r="C19" s="6">
        <v>8</v>
      </c>
      <c r="D19" s="6">
        <v>0</v>
      </c>
      <c r="E19" s="6">
        <v>0</v>
      </c>
      <c r="F19" s="1"/>
      <c r="G19" s="1"/>
      <c r="H19" s="6">
        <v>2025</v>
      </c>
      <c r="I19" s="6">
        <v>9</v>
      </c>
      <c r="J19" s="6">
        <v>0</v>
      </c>
      <c r="K19" s="6">
        <v>0</v>
      </c>
      <c r="L19" s="1"/>
      <c r="M19" s="1"/>
      <c r="N19" s="1"/>
      <c r="O19" s="1"/>
      <c r="P19" s="1"/>
    </row>
    <row r="20" spans="1:16" ht="15" x14ac:dyDescent="0.25">
      <c r="A20" s="30"/>
      <c r="B20" s="6">
        <v>2024</v>
      </c>
      <c r="C20" s="6">
        <v>0</v>
      </c>
      <c r="D20" s="6">
        <v>0</v>
      </c>
      <c r="E20" s="6">
        <v>0</v>
      </c>
      <c r="F20" s="1"/>
      <c r="G20" s="1"/>
      <c r="H20" s="6">
        <v>2024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</row>
    <row r="21" spans="1:16" ht="15" x14ac:dyDescent="0.25">
      <c r="A21" s="30"/>
      <c r="B21" s="6">
        <v>2023</v>
      </c>
      <c r="C21" s="6">
        <v>3</v>
      </c>
      <c r="D21" s="6">
        <v>0</v>
      </c>
      <c r="E21" s="6">
        <v>0</v>
      </c>
      <c r="F21" s="1"/>
      <c r="G21" s="1"/>
      <c r="H21" s="6">
        <v>2023</v>
      </c>
      <c r="I21" s="6">
        <v>3</v>
      </c>
      <c r="J21" s="6">
        <v>0</v>
      </c>
      <c r="K21" s="6">
        <v>0</v>
      </c>
      <c r="L21" s="1"/>
      <c r="M21" s="1"/>
      <c r="N21" s="1"/>
      <c r="O21" s="1"/>
      <c r="P21" s="1"/>
    </row>
    <row r="22" spans="1:16" ht="15" x14ac:dyDescent="0.25">
      <c r="A22" s="30"/>
      <c r="B22" s="6">
        <v>2022</v>
      </c>
      <c r="C22" s="6">
        <v>0</v>
      </c>
      <c r="D22" s="6">
        <v>0</v>
      </c>
      <c r="E22" s="6">
        <v>0</v>
      </c>
      <c r="F22" s="1"/>
      <c r="G22" s="1"/>
      <c r="H22" s="6">
        <v>2022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</row>
    <row r="23" spans="1:16" ht="15" x14ac:dyDescent="0.25">
      <c r="A23" s="30"/>
      <c r="B23" s="6">
        <v>2021</v>
      </c>
      <c r="C23" s="6">
        <v>17</v>
      </c>
      <c r="D23" s="6">
        <v>0</v>
      </c>
      <c r="E23" s="6">
        <v>0</v>
      </c>
      <c r="F23" s="1"/>
      <c r="G23" s="1"/>
      <c r="H23" s="6">
        <v>2021</v>
      </c>
      <c r="I23" s="6">
        <v>4</v>
      </c>
      <c r="J23" s="6">
        <v>0</v>
      </c>
      <c r="K23" s="6">
        <v>0</v>
      </c>
      <c r="L23" s="1"/>
      <c r="M23" s="1"/>
      <c r="N23" s="1"/>
      <c r="O23" s="1"/>
      <c r="P23" s="1"/>
    </row>
    <row r="24" spans="1:16" ht="15" x14ac:dyDescent="0.25">
      <c r="A24" s="30"/>
      <c r="B24" s="5" t="s">
        <v>12</v>
      </c>
      <c r="C24" s="5">
        <v>28</v>
      </c>
      <c r="D24" s="5">
        <v>0</v>
      </c>
      <c r="E24" s="5">
        <v>0</v>
      </c>
      <c r="F24" s="1"/>
      <c r="G24" s="1"/>
      <c r="H24" s="5" t="s">
        <v>12</v>
      </c>
      <c r="I24" s="5">
        <v>16</v>
      </c>
      <c r="J24" s="5">
        <v>0</v>
      </c>
      <c r="K24" s="5">
        <v>0</v>
      </c>
      <c r="L24" s="1"/>
      <c r="M24" s="1"/>
      <c r="N24" s="1"/>
      <c r="O24" s="1"/>
      <c r="P24" s="1"/>
    </row>
    <row r="25" spans="1:16" ht="15" x14ac:dyDescent="0.25">
      <c r="A25" s="30"/>
      <c r="B25" s="1"/>
      <c r="C25" s="1"/>
      <c r="D25" s="11" t="s">
        <v>21</v>
      </c>
      <c r="E25" s="12">
        <v>22</v>
      </c>
      <c r="F25" s="1"/>
      <c r="G25" s="1"/>
      <c r="H25" s="1"/>
      <c r="I25" s="1"/>
      <c r="J25" s="11" t="s">
        <v>21</v>
      </c>
      <c r="K25" s="12">
        <v>47</v>
      </c>
      <c r="L25" s="1"/>
      <c r="M25" s="1"/>
      <c r="N25" s="1"/>
      <c r="O25" s="1"/>
      <c r="P25" s="1"/>
    </row>
    <row r="26" spans="1:16" ht="15" x14ac:dyDescent="0.25">
      <c r="A26" s="30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5" x14ac:dyDescent="0.25">
      <c r="A27" s="30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5" x14ac:dyDescent="0.25">
      <c r="A28" s="30"/>
      <c r="B28" s="28" t="s">
        <v>22</v>
      </c>
      <c r="C28" s="26"/>
      <c r="D28" s="26"/>
      <c r="E28" s="26"/>
      <c r="F28" s="26"/>
      <c r="G28" s="26"/>
      <c r="H28" s="26"/>
      <c r="I28" s="1"/>
      <c r="J28" s="28" t="s">
        <v>23</v>
      </c>
      <c r="K28" s="26"/>
      <c r="L28" s="26"/>
      <c r="M28" s="26"/>
      <c r="N28" s="26"/>
      <c r="O28" s="26"/>
      <c r="P28" s="26"/>
    </row>
    <row r="29" spans="1:16" ht="15" x14ac:dyDescent="0.25">
      <c r="A29" s="30"/>
      <c r="B29" s="27" t="s">
        <v>24</v>
      </c>
      <c r="C29" s="25" t="s">
        <v>18</v>
      </c>
      <c r="D29" s="26"/>
      <c r="E29" s="25" t="s">
        <v>19</v>
      </c>
      <c r="F29" s="26"/>
      <c r="G29" s="25" t="s">
        <v>20</v>
      </c>
      <c r="H29" s="26"/>
      <c r="I29" s="1"/>
      <c r="J29" s="27" t="s">
        <v>24</v>
      </c>
      <c r="K29" s="25" t="s">
        <v>18</v>
      </c>
      <c r="L29" s="26"/>
      <c r="M29" s="25" t="s">
        <v>19</v>
      </c>
      <c r="N29" s="26"/>
      <c r="O29" s="25" t="s">
        <v>20</v>
      </c>
      <c r="P29" s="26"/>
    </row>
    <row r="30" spans="1:16" ht="15" x14ac:dyDescent="0.25">
      <c r="A30" s="30"/>
      <c r="B30" s="26"/>
      <c r="C30" s="13" t="s">
        <v>6</v>
      </c>
      <c r="D30" s="13" t="s">
        <v>7</v>
      </c>
      <c r="E30" s="13" t="s">
        <v>6</v>
      </c>
      <c r="F30" s="13" t="s">
        <v>7</v>
      </c>
      <c r="G30" s="13" t="s">
        <v>6</v>
      </c>
      <c r="H30" s="13" t="s">
        <v>7</v>
      </c>
      <c r="I30" s="1"/>
      <c r="J30" s="26"/>
      <c r="K30" s="13" t="s">
        <v>6</v>
      </c>
      <c r="L30" s="13" t="s">
        <v>7</v>
      </c>
      <c r="M30" s="13" t="s">
        <v>6</v>
      </c>
      <c r="N30" s="13" t="s">
        <v>7</v>
      </c>
      <c r="O30" s="13" t="s">
        <v>6</v>
      </c>
      <c r="P30" s="13" t="s">
        <v>7</v>
      </c>
    </row>
    <row r="31" spans="1:16" ht="15" x14ac:dyDescent="0.25">
      <c r="A31" s="30"/>
      <c r="B31" s="14">
        <v>2026</v>
      </c>
      <c r="C31" s="15"/>
      <c r="D31" s="15"/>
      <c r="E31" s="15"/>
      <c r="F31" s="15"/>
      <c r="G31" s="15"/>
      <c r="H31" s="15"/>
      <c r="I31" s="1"/>
      <c r="J31" s="14">
        <v>2026</v>
      </c>
      <c r="K31" s="15"/>
      <c r="L31" s="15"/>
      <c r="M31" s="15"/>
      <c r="N31" s="15"/>
      <c r="O31" s="15"/>
      <c r="P31" s="15"/>
    </row>
    <row r="32" spans="1:16" ht="15" x14ac:dyDescent="0.25">
      <c r="A32" s="30"/>
      <c r="B32" s="14">
        <v>2025</v>
      </c>
      <c r="C32" s="15"/>
      <c r="D32" s="15">
        <v>8</v>
      </c>
      <c r="E32" s="15">
        <v>4</v>
      </c>
      <c r="F32" s="15"/>
      <c r="G32" s="15"/>
      <c r="H32" s="15"/>
      <c r="I32" s="1"/>
      <c r="J32" s="14">
        <v>2025</v>
      </c>
      <c r="K32" s="15"/>
      <c r="L32" s="15">
        <v>9</v>
      </c>
      <c r="M32" s="15">
        <v>1</v>
      </c>
      <c r="N32" s="15"/>
      <c r="O32" s="15"/>
      <c r="P32" s="15"/>
    </row>
    <row r="33" spans="1:16" ht="15" x14ac:dyDescent="0.25">
      <c r="A33" s="30"/>
      <c r="B33" s="14">
        <v>2024</v>
      </c>
      <c r="C33" s="15"/>
      <c r="D33" s="15"/>
      <c r="E33" s="15"/>
      <c r="F33" s="15"/>
      <c r="G33" s="15"/>
      <c r="H33" s="15"/>
      <c r="I33" s="1"/>
      <c r="J33" s="14">
        <v>2024</v>
      </c>
      <c r="K33" s="15"/>
      <c r="L33" s="15"/>
      <c r="M33" s="15"/>
      <c r="N33" s="15"/>
      <c r="O33" s="15"/>
      <c r="P33" s="15"/>
    </row>
    <row r="34" spans="1:16" ht="15" x14ac:dyDescent="0.25">
      <c r="A34" s="30"/>
      <c r="B34" s="14">
        <v>2023</v>
      </c>
      <c r="C34" s="15"/>
      <c r="D34" s="15">
        <v>3</v>
      </c>
      <c r="E34" s="15"/>
      <c r="F34" s="15"/>
      <c r="G34" s="15"/>
      <c r="H34" s="15"/>
      <c r="I34" s="1"/>
      <c r="J34" s="14">
        <v>2023</v>
      </c>
      <c r="K34" s="15"/>
      <c r="L34" s="15">
        <v>3</v>
      </c>
      <c r="M34" s="15"/>
      <c r="N34" s="15"/>
      <c r="O34" s="15"/>
      <c r="P34" s="15"/>
    </row>
    <row r="35" spans="1:16" ht="15" x14ac:dyDescent="0.25">
      <c r="A35" s="30"/>
      <c r="B35" s="14">
        <v>2022</v>
      </c>
      <c r="C35" s="15"/>
      <c r="D35" s="15"/>
      <c r="E35" s="15"/>
      <c r="F35" s="15"/>
      <c r="G35" s="15"/>
      <c r="H35" s="15"/>
      <c r="I35" s="1"/>
      <c r="J35" s="14">
        <v>2022</v>
      </c>
      <c r="K35" s="15"/>
      <c r="L35" s="15"/>
      <c r="M35" s="15"/>
      <c r="N35" s="15"/>
      <c r="O35" s="15"/>
      <c r="P35" s="15"/>
    </row>
    <row r="36" spans="1:16" ht="15" x14ac:dyDescent="0.25">
      <c r="A36" s="30"/>
      <c r="B36" s="14">
        <v>2021</v>
      </c>
      <c r="C36" s="15">
        <v>9</v>
      </c>
      <c r="D36" s="15">
        <v>17</v>
      </c>
      <c r="E36" s="15"/>
      <c r="F36" s="15"/>
      <c r="G36" s="15"/>
      <c r="H36" s="15"/>
      <c r="I36" s="1"/>
      <c r="J36" s="14">
        <v>2021</v>
      </c>
      <c r="K36" s="15">
        <v>1</v>
      </c>
      <c r="L36" s="15">
        <v>4</v>
      </c>
      <c r="M36" s="15"/>
      <c r="N36" s="15"/>
      <c r="O36" s="15"/>
      <c r="P36" s="15"/>
    </row>
    <row r="37" spans="1:16" ht="15" x14ac:dyDescent="0.25">
      <c r="A37" s="30"/>
      <c r="B37" s="16">
        <v>2020</v>
      </c>
      <c r="C37" s="17">
        <v>2</v>
      </c>
      <c r="D37" s="17">
        <v>6</v>
      </c>
      <c r="E37" s="17"/>
      <c r="F37" s="17"/>
      <c r="G37" s="17"/>
      <c r="H37" s="17"/>
      <c r="I37" s="1"/>
      <c r="J37" s="16">
        <v>2020</v>
      </c>
      <c r="K37" s="17"/>
      <c r="L37" s="17">
        <v>8</v>
      </c>
      <c r="M37" s="17"/>
      <c r="N37" s="17"/>
      <c r="O37" s="17"/>
      <c r="P37" s="17"/>
    </row>
    <row r="38" spans="1:16" ht="15" x14ac:dyDescent="0.25">
      <c r="A38" s="30"/>
      <c r="B38" s="16">
        <v>2019</v>
      </c>
      <c r="C38" s="17">
        <v>2</v>
      </c>
      <c r="D38" s="17">
        <v>10</v>
      </c>
      <c r="E38" s="17"/>
      <c r="F38" s="17"/>
      <c r="G38" s="17"/>
      <c r="H38" s="17"/>
      <c r="I38" s="1"/>
      <c r="J38" s="16">
        <v>2019</v>
      </c>
      <c r="K38" s="17"/>
      <c r="L38" s="17">
        <v>13</v>
      </c>
      <c r="M38" s="17"/>
      <c r="N38" s="17"/>
      <c r="O38" s="17"/>
      <c r="P38" s="17"/>
    </row>
    <row r="39" spans="1:16" ht="15" x14ac:dyDescent="0.25">
      <c r="A39" s="30"/>
      <c r="B39" s="16">
        <v>2018</v>
      </c>
      <c r="C39" s="17">
        <v>1</v>
      </c>
      <c r="D39" s="17"/>
      <c r="E39" s="17"/>
      <c r="F39" s="17"/>
      <c r="G39" s="17"/>
      <c r="H39" s="17"/>
      <c r="I39" s="1"/>
      <c r="J39" s="16">
        <v>2018</v>
      </c>
      <c r="K39" s="17"/>
      <c r="L39" s="17">
        <v>1</v>
      </c>
      <c r="M39" s="17"/>
      <c r="N39" s="17"/>
      <c r="O39" s="17"/>
      <c r="P39" s="17"/>
    </row>
    <row r="40" spans="1:16" ht="15" x14ac:dyDescent="0.25">
      <c r="A40" s="30"/>
      <c r="B40" s="16">
        <v>2017</v>
      </c>
      <c r="C40" s="17">
        <v>2</v>
      </c>
      <c r="D40" s="17">
        <v>3</v>
      </c>
      <c r="E40" s="17"/>
      <c r="F40" s="17"/>
      <c r="G40" s="17"/>
      <c r="H40" s="17"/>
      <c r="I40" s="1"/>
      <c r="J40" s="16">
        <v>2017</v>
      </c>
      <c r="K40" s="17">
        <v>2</v>
      </c>
      <c r="L40" s="17">
        <v>1</v>
      </c>
      <c r="M40" s="17"/>
      <c r="N40" s="17"/>
      <c r="O40" s="17"/>
      <c r="P40" s="17"/>
    </row>
    <row r="41" spans="1:16" ht="15" x14ac:dyDescent="0.25">
      <c r="A41" s="30"/>
      <c r="B41" s="16">
        <v>2016</v>
      </c>
      <c r="C41" s="17">
        <v>2</v>
      </c>
      <c r="D41" s="17">
        <v>1</v>
      </c>
      <c r="E41" s="17"/>
      <c r="F41" s="17"/>
      <c r="G41" s="17"/>
      <c r="H41" s="17"/>
      <c r="I41" s="1"/>
      <c r="J41" s="16">
        <v>2016</v>
      </c>
      <c r="K41" s="17">
        <v>1</v>
      </c>
      <c r="L41" s="17">
        <v>6</v>
      </c>
      <c r="M41" s="17"/>
      <c r="N41" s="17"/>
      <c r="O41" s="17"/>
      <c r="P41" s="17"/>
    </row>
    <row r="42" spans="1:16" ht="15" x14ac:dyDescent="0.25">
      <c r="A42" s="30"/>
      <c r="B42" s="18">
        <v>2015</v>
      </c>
      <c r="C42" s="19"/>
      <c r="D42" s="19">
        <v>1</v>
      </c>
      <c r="E42" s="19">
        <v>1</v>
      </c>
      <c r="F42" s="19"/>
      <c r="G42" s="19"/>
      <c r="H42" s="19"/>
      <c r="I42" s="1"/>
      <c r="J42" s="18">
        <v>2015</v>
      </c>
      <c r="K42" s="19"/>
      <c r="L42" s="19">
        <v>5</v>
      </c>
      <c r="M42" s="19"/>
      <c r="N42" s="19"/>
      <c r="O42" s="19"/>
      <c r="P42" s="19"/>
    </row>
    <row r="43" spans="1:16" ht="15" x14ac:dyDescent="0.25">
      <c r="A43" s="30"/>
      <c r="B43" s="18">
        <v>2014</v>
      </c>
      <c r="C43" s="19">
        <v>1</v>
      </c>
      <c r="D43" s="19"/>
      <c r="E43" s="19"/>
      <c r="F43" s="19"/>
      <c r="G43" s="19"/>
      <c r="H43" s="19"/>
      <c r="I43" s="1"/>
      <c r="J43" s="18">
        <v>2014</v>
      </c>
      <c r="K43" s="19"/>
      <c r="L43" s="19">
        <v>6</v>
      </c>
      <c r="M43" s="19"/>
      <c r="N43" s="19"/>
      <c r="O43" s="19"/>
      <c r="P43" s="19"/>
    </row>
    <row r="44" spans="1:16" ht="15" x14ac:dyDescent="0.25">
      <c r="A44" s="30"/>
      <c r="B44" s="18">
        <v>2013</v>
      </c>
      <c r="C44" s="19">
        <v>1</v>
      </c>
      <c r="D44" s="19"/>
      <c r="E44" s="19">
        <v>4</v>
      </c>
      <c r="F44" s="19">
        <v>1</v>
      </c>
      <c r="G44" s="19">
        <v>1</v>
      </c>
      <c r="H44" s="19"/>
      <c r="I44" s="1"/>
      <c r="J44" s="18">
        <v>2013</v>
      </c>
      <c r="K44" s="19"/>
      <c r="L44" s="19"/>
      <c r="M44" s="19">
        <v>2</v>
      </c>
      <c r="N44" s="19">
        <v>2</v>
      </c>
      <c r="O44" s="19"/>
      <c r="P44" s="19"/>
    </row>
    <row r="45" spans="1:16" ht="15" x14ac:dyDescent="0.25">
      <c r="A45" s="30"/>
      <c r="B45" s="18">
        <v>2012</v>
      </c>
      <c r="C45" s="19">
        <v>1</v>
      </c>
      <c r="D45" s="19"/>
      <c r="E45" s="19"/>
      <c r="F45" s="19"/>
      <c r="G45" s="19"/>
      <c r="H45" s="19"/>
      <c r="I45" s="1"/>
      <c r="J45" s="18">
        <v>2012</v>
      </c>
      <c r="K45" s="19"/>
      <c r="L45" s="19">
        <v>2</v>
      </c>
      <c r="M45" s="19">
        <v>1</v>
      </c>
      <c r="N45" s="19"/>
      <c r="O45" s="19"/>
      <c r="P45" s="19"/>
    </row>
    <row r="46" spans="1:16" ht="15" x14ac:dyDescent="0.25">
      <c r="A46" s="30"/>
      <c r="B46" s="18">
        <v>2011</v>
      </c>
      <c r="C46" s="19"/>
      <c r="D46" s="19"/>
      <c r="E46" s="19"/>
      <c r="F46" s="19"/>
      <c r="G46" s="19"/>
      <c r="H46" s="19"/>
      <c r="I46" s="1"/>
      <c r="J46" s="18">
        <v>2011</v>
      </c>
      <c r="K46" s="19"/>
      <c r="L46" s="19"/>
      <c r="M46" s="19"/>
      <c r="N46" s="19">
        <v>3</v>
      </c>
      <c r="O46" s="19"/>
      <c r="P46" s="19"/>
    </row>
    <row r="47" spans="1:16" ht="15" x14ac:dyDescent="0.25">
      <c r="A47" s="30"/>
      <c r="B47" s="20">
        <v>2010</v>
      </c>
      <c r="C47" s="21"/>
      <c r="D47" s="21"/>
      <c r="E47" s="21"/>
      <c r="F47" s="21"/>
      <c r="G47" s="21"/>
      <c r="H47" s="21"/>
      <c r="I47" s="1"/>
      <c r="J47" s="20">
        <v>2010</v>
      </c>
      <c r="K47" s="21"/>
      <c r="L47" s="21"/>
      <c r="M47" s="21"/>
      <c r="N47" s="21"/>
      <c r="O47" s="21"/>
      <c r="P47" s="21"/>
    </row>
    <row r="48" spans="1:16" ht="15" x14ac:dyDescent="0.25">
      <c r="A48" s="30"/>
      <c r="B48" s="22" t="s">
        <v>25</v>
      </c>
      <c r="C48" s="22">
        <v>21</v>
      </c>
      <c r="D48" s="22">
        <v>49</v>
      </c>
      <c r="E48" s="22">
        <v>9</v>
      </c>
      <c r="F48" s="22">
        <v>1</v>
      </c>
      <c r="G48" s="22">
        <v>1</v>
      </c>
      <c r="H48" s="22"/>
      <c r="I48" s="1"/>
      <c r="J48" s="22" t="s">
        <v>25</v>
      </c>
      <c r="K48" s="22">
        <v>4</v>
      </c>
      <c r="L48" s="22">
        <v>58</v>
      </c>
      <c r="M48" s="22">
        <v>4</v>
      </c>
      <c r="N48" s="22">
        <v>5</v>
      </c>
      <c r="O48" s="22"/>
      <c r="P48" s="22"/>
    </row>
  </sheetData>
  <mergeCells count="17">
    <mergeCell ref="H2:J2"/>
    <mergeCell ref="H15:K15"/>
    <mergeCell ref="A1:K1"/>
    <mergeCell ref="B2:D2"/>
    <mergeCell ref="B28:H28"/>
    <mergeCell ref="H16:H17"/>
    <mergeCell ref="B29:B30"/>
    <mergeCell ref="J28:P28"/>
    <mergeCell ref="B15:E15"/>
    <mergeCell ref="B16:B17"/>
    <mergeCell ref="J29:J30"/>
    <mergeCell ref="G29:H29"/>
    <mergeCell ref="K29:L29"/>
    <mergeCell ref="C29:D29"/>
    <mergeCell ref="O29:P29"/>
    <mergeCell ref="E29:F29"/>
    <mergeCell ref="M29:N2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BookingRaw</vt:lpstr>
      <vt:lpstr>TOTAL 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office4</cp:lastModifiedBy>
  <dcterms:created xsi:type="dcterms:W3CDTF">2026-09-16T02:55:57Z</dcterms:created>
  <dcterms:modified xsi:type="dcterms:W3CDTF">2026-09-16T02:58:50Z</dcterms:modified>
</cp:coreProperties>
</file>